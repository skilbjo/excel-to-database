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7A2D7E96-6E34-419A-AE5F-296B3A7E7977}"/>
  <workbookPr codeName="ThisWorkbook" autoCompressPictures="0"/>
  <bookViews>
    <workbookView xWindow="0" yWindow="0" windowWidth="18880" windowHeight="8720" activeTab="1"/>
  </bookViews>
  <sheets>
    <sheet name="Run Macro" sheetId="1" r:id="rId1"/>
    <sheet name="DB" sheetId="2" r:id="rId2"/>
    <sheet name="VBA" sheetId="3" r:id="rId3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6" i="1" l="1"/>
  <c r="N76" i="1"/>
  <c r="P76" i="1"/>
  <c r="O77" i="1"/>
  <c r="N77" i="1"/>
  <c r="P77" i="1"/>
  <c r="O78" i="1"/>
  <c r="N78" i="1"/>
  <c r="P78" i="1"/>
  <c r="O79" i="1"/>
  <c r="N79" i="1"/>
  <c r="P79" i="1"/>
  <c r="O80" i="1"/>
  <c r="N80" i="1"/>
  <c r="P80" i="1"/>
  <c r="O81" i="1"/>
  <c r="N81" i="1"/>
  <c r="P81" i="1"/>
  <c r="O82" i="1"/>
  <c r="N82" i="1"/>
  <c r="P82" i="1"/>
  <c r="F83" i="1"/>
  <c r="N83" i="1"/>
  <c r="O83" i="1"/>
  <c r="P83" i="1"/>
  <c r="P85" i="1"/>
  <c r="P86" i="1"/>
  <c r="O84" i="1"/>
  <c r="O85" i="1"/>
  <c r="N84" i="1"/>
  <c r="N85" i="1"/>
  <c r="G85" i="1"/>
  <c r="H85" i="1"/>
  <c r="I85" i="1"/>
  <c r="D85" i="1"/>
  <c r="E85" i="1"/>
  <c r="F85" i="1"/>
  <c r="P84" i="1"/>
  <c r="I84" i="1"/>
  <c r="F84" i="1"/>
  <c r="I83" i="1"/>
  <c r="I82" i="1"/>
  <c r="F82" i="1"/>
  <c r="I81" i="1"/>
  <c r="F81" i="1"/>
  <c r="I80" i="1"/>
  <c r="F80" i="1"/>
  <c r="I79" i="1"/>
  <c r="F79" i="1"/>
  <c r="I78" i="1"/>
  <c r="F78" i="1"/>
  <c r="I77" i="1"/>
  <c r="F77" i="1"/>
  <c r="I76" i="1"/>
  <c r="F76" i="1"/>
  <c r="O62" i="1"/>
  <c r="N62" i="1"/>
  <c r="P62" i="1"/>
  <c r="O63" i="1"/>
  <c r="N63" i="1"/>
  <c r="P63" i="1"/>
  <c r="O64" i="1"/>
  <c r="N64" i="1"/>
  <c r="P64" i="1"/>
  <c r="O65" i="1"/>
  <c r="N65" i="1"/>
  <c r="P65" i="1"/>
  <c r="O66" i="1"/>
  <c r="N66" i="1"/>
  <c r="P66" i="1"/>
  <c r="O67" i="1"/>
  <c r="N67" i="1"/>
  <c r="P67" i="1"/>
  <c r="O68" i="1"/>
  <c r="N68" i="1"/>
  <c r="P68" i="1"/>
  <c r="N69" i="1"/>
  <c r="O69" i="1"/>
  <c r="P69" i="1"/>
  <c r="P71" i="1"/>
  <c r="P72" i="1"/>
  <c r="O70" i="1"/>
  <c r="O71" i="1"/>
  <c r="N70" i="1"/>
  <c r="N71" i="1"/>
  <c r="G71" i="1"/>
  <c r="H71" i="1"/>
  <c r="I71" i="1"/>
  <c r="D71" i="1"/>
  <c r="E71" i="1"/>
  <c r="F71" i="1"/>
  <c r="P70" i="1"/>
  <c r="I70" i="1"/>
  <c r="F70" i="1"/>
  <c r="I69" i="1"/>
  <c r="F69" i="1"/>
  <c r="I68" i="1"/>
  <c r="F68" i="1"/>
  <c r="I67" i="1"/>
  <c r="F67" i="1"/>
  <c r="I66" i="1"/>
  <c r="F66" i="1"/>
  <c r="I65" i="1"/>
  <c r="F65" i="1"/>
  <c r="I64" i="1"/>
  <c r="F64" i="1"/>
  <c r="I63" i="1"/>
  <c r="F63" i="1"/>
  <c r="I62" i="1"/>
  <c r="F62" i="1"/>
  <c r="O48" i="1"/>
  <c r="N48" i="1"/>
  <c r="P48" i="1"/>
  <c r="O49" i="1"/>
  <c r="N49" i="1"/>
  <c r="P49" i="1"/>
  <c r="O50" i="1"/>
  <c r="N50" i="1"/>
  <c r="P50" i="1"/>
  <c r="O51" i="1"/>
  <c r="N51" i="1"/>
  <c r="P51" i="1"/>
  <c r="O52" i="1"/>
  <c r="N52" i="1"/>
  <c r="P52" i="1"/>
  <c r="O53" i="1"/>
  <c r="N53" i="1"/>
  <c r="P53" i="1"/>
  <c r="O54" i="1"/>
  <c r="N54" i="1"/>
  <c r="P54" i="1"/>
  <c r="O55" i="1"/>
  <c r="P55" i="1"/>
  <c r="P57" i="1"/>
  <c r="P58" i="1"/>
  <c r="O56" i="1"/>
  <c r="O57" i="1"/>
  <c r="N56" i="1"/>
  <c r="N57" i="1"/>
  <c r="G57" i="1"/>
  <c r="H57" i="1"/>
  <c r="I57" i="1"/>
  <c r="D57" i="1"/>
  <c r="E57" i="1"/>
  <c r="F57" i="1"/>
  <c r="P56" i="1"/>
  <c r="I56" i="1"/>
  <c r="F56" i="1"/>
  <c r="I55" i="1"/>
  <c r="F55" i="1"/>
  <c r="I54" i="1"/>
  <c r="F54" i="1"/>
  <c r="I53" i="1"/>
  <c r="F53" i="1"/>
  <c r="I52" i="1"/>
  <c r="F52" i="1"/>
  <c r="I51" i="1"/>
  <c r="F51" i="1"/>
  <c r="I50" i="1"/>
  <c r="F50" i="1"/>
  <c r="I49" i="1"/>
  <c r="F49" i="1"/>
  <c r="I48" i="1"/>
  <c r="F48" i="1"/>
  <c r="D30" i="1"/>
  <c r="D31" i="1"/>
  <c r="D32" i="1"/>
  <c r="D33" i="1"/>
  <c r="E33" i="1"/>
  <c r="D35" i="1"/>
</calcChain>
</file>

<file path=xl/sharedStrings.xml><?xml version="1.0" encoding="utf-8"?>
<sst xmlns="http://schemas.openxmlformats.org/spreadsheetml/2006/main" count="341" uniqueCount="268">
  <si>
    <t>Year</t>
  </si>
  <si>
    <t>Visa</t>
  </si>
  <si>
    <t>Debit Letter</t>
  </si>
  <si>
    <t>Contract</t>
  </si>
  <si>
    <t>Addendum</t>
  </si>
  <si>
    <t>Variance</t>
  </si>
  <si>
    <t>Company Name</t>
  </si>
  <si>
    <t>Account ID</t>
  </si>
  <si>
    <t>Payment Type</t>
  </si>
  <si>
    <t>Date</t>
  </si>
  <si>
    <t>MC</t>
  </si>
  <si>
    <t>Disc</t>
  </si>
  <si>
    <t>Echeck</t>
  </si>
  <si>
    <t>Amex</t>
  </si>
  <si>
    <t>Scan</t>
  </si>
  <si>
    <t>Debit</t>
  </si>
  <si>
    <t>MMF</t>
  </si>
  <si>
    <t>Pay by Cash</t>
  </si>
  <si>
    <t>2011 Variance</t>
  </si>
  <si>
    <t>2012 Variance</t>
  </si>
  <si>
    <t>2013 Variance</t>
  </si>
  <si>
    <t>Total (Refund) Due</t>
  </si>
  <si>
    <t>Error Type</t>
  </si>
  <si>
    <t>The Summary Sheet is in the below format. Please keep the summary sheets in this format.</t>
  </si>
  <si>
    <t>Enter the file path of the Summary Sheet files you'd like to tabularize, and I will tabularize that data for you.</t>
  </si>
  <si>
    <t>Enter file path:</t>
  </si>
  <si>
    <t xml:space="preserve">Click me to run: </t>
  </si>
  <si>
    <t>Example file path --&gt;                                             //share2006/Finance/Reports/2013</t>
  </si>
  <si>
    <t>Option Explicit</t>
  </si>
  <si>
    <t>Sub OpenFiles()</t>
  </si>
  <si>
    <t xml:space="preserve">    </t>
  </si>
  <si>
    <t xml:space="preserve">        Windows(strFile).Activate</t>
  </si>
  <si>
    <t>End Sub</t>
  </si>
  <si>
    <t>VBA --&gt;</t>
  </si>
  <si>
    <t xml:space="preserve">  'variables</t>
  </si>
  <si>
    <t xml:space="preserve">  Dim wsSummarySheet As Worksheet</t>
  </si>
  <si>
    <t xml:space="preserve">  </t>
  </si>
  <si>
    <t xml:space="preserve">  'counters</t>
  </si>
  <si>
    <t xml:space="preserve">  Set wbCodeBook = Application.ActiveWorkbook</t>
  </si>
  <si>
    <t xml:space="preserve">  wbCodeBookName = ActiveWorkbook.Name</t>
  </si>
  <si>
    <t xml:space="preserve">  'Where are you aiming to grab files from?</t>
  </si>
  <si>
    <t xml:space="preserve">  strPath = ActiveWorkbook.Worksheets("Run Macro").Range("E12").Value</t>
  </si>
  <si>
    <t xml:space="preserve">      'Ensure the path ends in a backslash</t>
  </si>
  <si>
    <t xml:space="preserve">      If Right(strPath, 1) &lt;&gt; "\" Then</t>
  </si>
  <si>
    <t xml:space="preserve">          strPath = strPath &amp; "\"</t>
  </si>
  <si>
    <t xml:space="preserve">      End If</t>
  </si>
  <si>
    <t xml:space="preserve">      </t>
  </si>
  <si>
    <t xml:space="preserve">  'Call the first file within the folder (change the file extension, accordingly)</t>
  </si>
  <si>
    <t xml:space="preserve">  strFile = Dir(strPath &amp; "*.xls*")</t>
  </si>
  <si>
    <t xml:space="preserve">  'Loop through each file within the folder</t>
  </si>
  <si>
    <t xml:space="preserve">  Do While Len(strFile) &gt; 0</t>
  </si>
  <si>
    <t xml:space="preserve">      Set wbResults = Workbooks.Open(strPath &amp; strFile, UpdateLinks:=0)</t>
  </si>
  <si>
    <t xml:space="preserve">      Windows(strFile).Activate</t>
  </si>
  <si>
    <t xml:space="preserve">      'Store SummarySheet values in memory via the Record array</t>
  </si>
  <si>
    <t xml:space="preserve">      'Continue adding variables here etc etc</t>
  </si>
  <si>
    <t xml:space="preserve">      Windows(wbCodeBookName).Activate</t>
  </si>
  <si>
    <t xml:space="preserve">      Sheets("DB").Select</t>
  </si>
  <si>
    <t xml:space="preserve">      'Paste the values to the DB</t>
  </si>
  <si>
    <t xml:space="preserve">        wsSummarySheet.Select</t>
  </si>
  <si>
    <t xml:space="preserve">        wbResults.Close savechanges:=False</t>
  </si>
  <si>
    <t xml:space="preserve">        strFile = Dir</t>
  </si>
  <si>
    <t xml:space="preserve">    'iterator / reset loop variables</t>
  </si>
  <si>
    <t xml:space="preserve">    Column = "A"    ' reset column variable</t>
  </si>
  <si>
    <t xml:space="preserve">    'increment the counter by one for each time you run the macro</t>
  </si>
  <si>
    <t xml:space="preserve">  Loop</t>
  </si>
  <si>
    <t>Application.Calculation = xlCalculationAutomatic</t>
  </si>
  <si>
    <t>Application.ScreenUpdating = True</t>
  </si>
  <si>
    <t>05-80165891</t>
  </si>
  <si>
    <t>Jamaica Royale Management Inc</t>
  </si>
  <si>
    <t>AccountID</t>
  </si>
  <si>
    <t>Name</t>
  </si>
  <si>
    <t>Contract_Date</t>
  </si>
  <si>
    <t>Contract_Visa_Rate</t>
  </si>
  <si>
    <t>Contract_Visa_Rate_Fixed</t>
  </si>
  <si>
    <t>Contract_DC_Rate_Fixed</t>
  </si>
  <si>
    <t>Contract_DC_Rate</t>
  </si>
  <si>
    <t>Contract_eCheck_Rate_Fixed</t>
  </si>
  <si>
    <t>Contract_AmEx_Rate_Fixed</t>
  </si>
  <si>
    <t>Contract_Scan_Rate_Fixed</t>
  </si>
  <si>
    <t>Contract_MMF_Rate_Fixed</t>
  </si>
  <si>
    <t>Contract_PayByCash_Rate_Fixed</t>
  </si>
  <si>
    <t>Addendum_Date</t>
  </si>
  <si>
    <t>Addendum_Visa_Rate</t>
  </si>
  <si>
    <t>Addendum_Visa_Rate_Fixed</t>
  </si>
  <si>
    <t>Addendum_DC_Rate</t>
  </si>
  <si>
    <t>Addendum_DC_Rate_Fixed</t>
  </si>
  <si>
    <t>Addendum_eCheck_Rate_Fixed</t>
  </si>
  <si>
    <t>Addendum_AmEx_Rate_Fixed</t>
  </si>
  <si>
    <t>Addendum_Scan_Rate_Fixed</t>
  </si>
  <si>
    <t>Addendum_MMF_Rate_Fixed</t>
  </si>
  <si>
    <t>Addendum_PayByCash_Rate_Fixed</t>
  </si>
  <si>
    <t>Debit_letter</t>
  </si>
  <si>
    <t>Debit_Debit_Rate_Variable</t>
  </si>
  <si>
    <t>Debit_Debit_Rate_Fixed</t>
  </si>
  <si>
    <t>Install_Date</t>
  </si>
  <si>
    <t>Date_Inactivated</t>
  </si>
  <si>
    <t>Error_Type</t>
  </si>
  <si>
    <t>Action_Item</t>
  </si>
  <si>
    <t>Notes</t>
  </si>
  <si>
    <t>Internal</t>
  </si>
  <si>
    <t>Contractor</t>
  </si>
  <si>
    <t>4.  Legal - Drafts Contract = Bill</t>
  </si>
  <si>
    <t>1.  No Action Needed</t>
  </si>
  <si>
    <t>8. Debit Rate Error Letter</t>
  </si>
  <si>
    <t>Contract_MC_rate</t>
  </si>
  <si>
    <t>Contract_MC_Rate_Fixed</t>
  </si>
  <si>
    <t>Contract_Debit_Rate</t>
  </si>
  <si>
    <t>Contract_Debit_Rate_Fixed</t>
  </si>
  <si>
    <t>Addendum_MC_rate</t>
  </si>
  <si>
    <t>Addendum_MC_Rate_Fixed</t>
  </si>
  <si>
    <t>Addendum_Debit_Rate</t>
  </si>
  <si>
    <t>Addendum_Debit_Rate_Fixed</t>
  </si>
  <si>
    <t>Summary Audit Sheet</t>
  </si>
  <si>
    <t>Prepared By:</t>
  </si>
  <si>
    <t>Reviewed By:</t>
  </si>
  <si>
    <t>AB</t>
  </si>
  <si>
    <t>Date:</t>
  </si>
  <si>
    <t>2011 (Refund)</t>
  </si>
  <si>
    <t>NOTES:</t>
  </si>
  <si>
    <t>2012 (Refund)</t>
  </si>
  <si>
    <t>2013 (Refund)</t>
  </si>
  <si>
    <t>Total Refund</t>
  </si>
  <si>
    <t>Action Item</t>
  </si>
  <si>
    <t>Payment Type Rates</t>
  </si>
  <si>
    <t>Visa Rate</t>
  </si>
  <si>
    <t>Visa Count Rate</t>
  </si>
  <si>
    <t>MC Rate</t>
  </si>
  <si>
    <t>MC Rate Count</t>
  </si>
  <si>
    <t>Debit Rate</t>
  </si>
  <si>
    <t>Debit Count Rate</t>
  </si>
  <si>
    <t>Disc Rate</t>
  </si>
  <si>
    <t>Disc Count Rate</t>
  </si>
  <si>
    <t>Echeck Count Rate</t>
  </si>
  <si>
    <t>Amex Rate</t>
  </si>
  <si>
    <t>Scan Rate</t>
  </si>
  <si>
    <t>MMF Rate</t>
  </si>
  <si>
    <t>Pay by Cash Rate</t>
  </si>
  <si>
    <t>Install Date</t>
  </si>
  <si>
    <t>Date Inactivated</t>
  </si>
  <si>
    <t>2011 Audit Results</t>
  </si>
  <si>
    <t>Clean Volume</t>
  </si>
  <si>
    <t>Impacted Volume</t>
  </si>
  <si>
    <t>Total Volume</t>
  </si>
  <si>
    <t>Clean Count</t>
  </si>
  <si>
    <t>Impacted Count</t>
  </si>
  <si>
    <t>Total Count</t>
  </si>
  <si>
    <t>Invoice Rate</t>
  </si>
  <si>
    <t>Invoice Fee</t>
  </si>
  <si>
    <t>Correct Rate</t>
  </si>
  <si>
    <t>Correct Fee</t>
  </si>
  <si>
    <t>Total Invoiced</t>
  </si>
  <si>
    <t>Total with Correct Rates</t>
  </si>
  <si>
    <t>Total</t>
  </si>
  <si>
    <t>2012 Audit Results</t>
  </si>
  <si>
    <t>2013 Audit Results</t>
  </si>
  <si>
    <t>I will turn the Summary Sheet workbooks into tabular data that can then be analyzed via a database like MS Access</t>
  </si>
  <si>
    <t>Application.ScreenUpdating = False 'change to False    --- False</t>
  </si>
  <si>
    <t>Application.Calculation = xlCalculationManual 'change to xlCalculationManual       xlCalculationAutomatic</t>
  </si>
  <si>
    <t xml:space="preserve">  Dim wbResults, wbCodeBook As Workbook</t>
  </si>
  <si>
    <t xml:space="preserve">  Dim wbCodeBookName, Column, strPath, strFile, strDir As String</t>
  </si>
  <si>
    <t xml:space="preserve">  Dim Record(9, 3, 39) As Variant 'array</t>
  </si>
  <si>
    <t xml:space="preserve">  Dim fso, objFiles, obj As Object</t>
  </si>
  <si>
    <t xml:space="preserve">  Dim FileCount As Integer</t>
  </si>
  <si>
    <t xml:space="preserve">  Dim i, j, sumj, t, arrCounter As Integer    'i is iterator counter, j is [temp]column counter for pasting on DB tab, t is file counter iterator</t>
  </si>
  <si>
    <t xml:space="preserve">  'initialize variables</t>
  </si>
  <si>
    <t xml:space="preserve">  If i = 0 Then i = 1</t>
  </si>
  <si>
    <t xml:space="preserve">      Set wsSummarySheet = ActiveWorkbook.Worksheets("Template")</t>
  </si>
  <si>
    <t xml:space="preserve">      ' Static variables</t>
  </si>
  <si>
    <t xml:space="preserve">      Record(0, 0, 1) = wsSummarySheet.Range("b3").Value         'AccountId</t>
  </si>
  <si>
    <t xml:space="preserve">      Record(0, 0, 2) = wsSummarySheet.Range("b2").Value         'Company Name</t>
  </si>
  <si>
    <t xml:space="preserve">      Record(0, 0, 3) = wsSummarySheet.Range("b16").Value         'Contract_Date</t>
  </si>
  <si>
    <t xml:space="preserve">      Record(0, 0, 4) = wsSummarySheet.Range("c16").Value        'Contract_Visa_Rate_Variable</t>
  </si>
  <si>
    <t xml:space="preserve">      Record(0, 0, 5) = wsSummarySheet.Range("d16").Value        'Contract_Visa_Rate_Fixed</t>
  </si>
  <si>
    <t xml:space="preserve">      Record(0, 0, 6) = wsSummarySheet.Range("e16").Value        'Contract_MC_Rate_Variable</t>
  </si>
  <si>
    <t xml:space="preserve">      Record(0, 0, 7) = wsSummarySheet.Range("f16").Value        'Contract_MC_Rate_Fixed</t>
  </si>
  <si>
    <t xml:space="preserve">      Record(0, 0, 8) = wsSummarySheet.Range("g16").Value        'Contract_Debit_Rate_Variable</t>
  </si>
  <si>
    <t xml:space="preserve">      Record(0, 0, 9) = wsSummarySheet.Range("h16").Value        'Contract_Debit_Rate_Fixed</t>
  </si>
  <si>
    <t xml:space="preserve">      Record(0, 0, 10) = wsSummarySheet.Range("i16").Value        'Contract_DC_Rate_Variable</t>
  </si>
  <si>
    <t xml:space="preserve">      Record(0, 0, 11) = wsSummarySheet.Range("j16").Value        'Contract_DC_Rate_Fixed</t>
  </si>
  <si>
    <t xml:space="preserve">      Record(0, 0, 13) = wsSummarySheet.Range("k16").Value        'Contract_eCheck_Rate_Fixed</t>
  </si>
  <si>
    <t xml:space="preserve">      Record(0, 0, 14) = wsSummarySheet.Range("l16").Value        'Contract_Amex_Rate_Variable</t>
  </si>
  <si>
    <t xml:space="preserve">      Record(0, 0, 15) = wsSummarySheet.Range("m16").Value        'Contract_Scan_Rate_Fixed</t>
  </si>
  <si>
    <t xml:space="preserve">      Record(0, 0, 16) = wsSummarySheet.Range("n16").Value        'Contract_MMF_Rate_Variable</t>
  </si>
  <si>
    <t xml:space="preserve">      Record(0, 0, 17) = wsSummarySheet.Range("o16").Value        'Contract_PayByCash_Rate_Fixed</t>
  </si>
  <si>
    <t xml:space="preserve">      Record(0, 0, 18) = wsSummarySheet.Range("b17").Value         'Addendum_Date</t>
  </si>
  <si>
    <t xml:space="preserve">      Record(0, 0, 19) = wsSummarySheet.Range("c17").Value        'Addendum_Visa_Rate_Variable</t>
  </si>
  <si>
    <t xml:space="preserve">      Record(0, 0, 20) = wsSummarySheet.Range("d17").Value        'Addendum_Visa_Rate_Fixed</t>
  </si>
  <si>
    <t xml:space="preserve">      Record(0, 0, 21) = wsSummarySheet.Range("e17").Value        'Addendum_MC_Rate_Variable</t>
  </si>
  <si>
    <t xml:space="preserve">      Record(0, 0, 22) = wsSummarySheet.Range("f17").Value        'Addendum_MC_Rate_Fixed</t>
  </si>
  <si>
    <t xml:space="preserve">      Record(0, 0, 23) = wsSummarySheet.Range("g17").Value        'Addendum_Debit_Rate_Variable</t>
  </si>
  <si>
    <t xml:space="preserve">      Record(0, 0, 24) = wsSummarySheet.Range("h17").Value        'Addendum_Debit_Rate_Fixed</t>
  </si>
  <si>
    <t xml:space="preserve">      Record(0, 0, 25) = wsSummarySheet.Range("i17").Value        'Addendum_DC_Rate_Variable</t>
  </si>
  <si>
    <t xml:space="preserve">      Record(0, 0, 26) = wsSummarySheet.Range("j17").Value        'Addendum_DC_Rate_Fixed</t>
  </si>
  <si>
    <t xml:space="preserve">      Record(0, 0, 27) = wsSummarySheet.Range("k17").Value        'Addendum_eCheck_Rate_Fixed</t>
  </si>
  <si>
    <t xml:space="preserve">      Record(0, 0, 28) = wsSummarySheet.Range("l17").Value        'Addendum_Amex_Rate_Variable</t>
  </si>
  <si>
    <t xml:space="preserve">      Record(0, 0, 29) = wsSummarySheet.Range("m17").Value        'Addendum_Scan_Rate_Fixed</t>
  </si>
  <si>
    <t xml:space="preserve">      Record(0, 0, 30) = wsSummarySheet.Range("n17").Value        'Addendum_MMF_Rate_Variable</t>
  </si>
  <si>
    <t xml:space="preserve">      Record(0, 0, 31) = wsSummarySheet.Range("o17").Value        'Addendum_PayByCash_Rate_Fixed</t>
  </si>
  <si>
    <t xml:space="preserve">      Record(0, 0, 32) = wsSummarySheet.Range("b18").Value         'Debit_letter</t>
  </si>
  <si>
    <t xml:space="preserve">      Record(0, 0, 33) = wsSummarySheet.Range("g18").Value        'Debit_Debit_Rate_Variable</t>
  </si>
  <si>
    <t xml:space="preserve">      Record(0, 0, 34) = wsSummarySheet.Range("h18").Value        'Debit_Debit_Rate_Fixed</t>
  </si>
  <si>
    <t xml:space="preserve">      Record(0, 0, 35) = wsSummarySheet.Range("b19").Value         'Install Date</t>
  </si>
  <si>
    <t xml:space="preserve">      Record(0, 0, 36) = wsSummarySheet.Range("b20").Value         'Date Inactivated</t>
  </si>
  <si>
    <t xml:space="preserve">      Record(0, 0, 37) = wsSummarySheet.Range("b12").Value         'Error Type</t>
  </si>
  <si>
    <t xml:space="preserve">      Record(0, 0, 38) = wsSummarySheet.Range("b13").Value         'Action Item</t>
  </si>
  <si>
    <t xml:space="preserve">      Record(0, 0, 39) = wsSummarySheet.Range("e6").Value         'Notes</t>
  </si>
  <si>
    <t xml:space="preserve">      ' Variable variables</t>
  </si>
  <si>
    <t xml:space="preserve">      For arrCounter = 1 To (3)  '2011</t>
  </si>
  <si>
    <t xml:space="preserve">        Record(1, arrCounter, 0) = "201" &amp; arrCounter                                    'Year</t>
  </si>
  <si>
    <t xml:space="preserve">        Record(2, arrCounter, 0) = wsSummarySheet.Range("b" &amp; arrCounter + 5).Value      'Internal</t>
  </si>
  <si>
    <t xml:space="preserve">        Record(3, arrCounter, 0) = wsSummarySheet.Range("c" &amp; arrCounter + 5).Value      'Contractor</t>
  </si>
  <si>
    <t xml:space="preserve">      Next</t>
  </si>
  <si>
    <t xml:space="preserve">      For j = 1 To UBound(Record, 2) 'ie for A to P, column values -- j is inner loop counter, UBound determines the size of the array</t>
  </si>
  <si>
    <t xml:space="preserve">          Range("a" &amp; j + i).Value = Record(0, 0, 1)    ' account id</t>
  </si>
  <si>
    <t xml:space="preserve">          Range("b" &amp; j + i).Value = Record(0, 0, 2)    ' name</t>
  </si>
  <si>
    <t xml:space="preserve">          Range("c" &amp; j + i).Value = Record(0, 0, 3)    ' contract date</t>
  </si>
  <si>
    <t xml:space="preserve">          Range("d" &amp; j + i).Value = Record(0, 0, 4)    ' contract visa rate variable</t>
  </si>
  <si>
    <t xml:space="preserve">          Range("e" &amp; j + i).Value = Record(0, 0, 5)    ' contract visa rate fixed</t>
  </si>
  <si>
    <t xml:space="preserve">          Range("f" &amp; j + i).Value = Record(0, 0, 6)    ' contract MC rate variable</t>
  </si>
  <si>
    <t xml:space="preserve">          Range("g" &amp; j + i).Value = Record(0, 0, 7)    ' contract MC rate fixed</t>
  </si>
  <si>
    <t xml:space="preserve">          Range("h" &amp; j + i).Value = Record(0, 0, 8)    ' contract Debit rate variable</t>
  </si>
  <si>
    <t xml:space="preserve">          Range("i" &amp; j + i).Value = Record(0, 0, 9)    ' contract Debit rate fixed</t>
  </si>
  <si>
    <t xml:space="preserve">          Range("j" &amp; j + i).Value = Record(0, 0, 10)    ' contract DC rate variable</t>
  </si>
  <si>
    <t xml:space="preserve">          Range("k" &amp; j + i).Value = Record(0, 0, 11)    ' contract DC rate fixed</t>
  </si>
  <si>
    <t xml:space="preserve">          Range("l" &amp; j + i).Value = Record(0, 0, 12)    ' contract eCheck fixed</t>
  </si>
  <si>
    <t xml:space="preserve">          Range("m" &amp; j + i).Value = Record(0, 0, 13)    ' contract Amex fixed</t>
  </si>
  <si>
    <t xml:space="preserve">          Range("m" &amp; j + i).Value = Record(0, 0, 14)    ' contract Scan fixed</t>
  </si>
  <si>
    <t xml:space="preserve">          Range("o" &amp; j + i).Value = Record(0, 0, 15)    ' contract MMF fixed</t>
  </si>
  <si>
    <t xml:space="preserve">          Range("p" &amp; j + i).Value = Record(0, 0, 16)    ' contract PayByCash fixed</t>
  </si>
  <si>
    <t xml:space="preserve">          </t>
  </si>
  <si>
    <t xml:space="preserve">          Range("q" &amp; j + i).Value = Record(0, 0, 17)    ' addendum date</t>
  </si>
  <si>
    <t xml:space="preserve">          Range("r" &amp; j + i).Value = Record(0, 0, 18)    ' addendum visa rate variable</t>
  </si>
  <si>
    <t xml:space="preserve">          Range("s" &amp; j + i).Value = Record(0, 0, 19)    ' addendum visa rate fixed</t>
  </si>
  <si>
    <t xml:space="preserve">          Range("t" &amp; j + i).Value = Record(0, 0, 20)    ' addendum MC rate variable</t>
  </si>
  <si>
    <t xml:space="preserve">          Range("u" &amp; j + i).Value = Record(0, 0, 21)    ' addendum MC rate fixed</t>
  </si>
  <si>
    <t xml:space="preserve">          Range("v" &amp; j + i).Value = Record(0, 0, 22)    ' addendum Debit rate variable</t>
  </si>
  <si>
    <t xml:space="preserve">          Range("w" &amp; j + i).Value = Record(0, 0, 23)    ' addendum Debit rate fixed</t>
  </si>
  <si>
    <t xml:space="preserve">          Range("x" &amp; j + i).Value = Record(0, 0, 24)    ' addendum DC rate variable</t>
  </si>
  <si>
    <t xml:space="preserve">          Range("y" &amp; j + i).Value = Record(0, 0, 25)    ' addendum DC rate fixed</t>
  </si>
  <si>
    <t xml:space="preserve">          Range("z" &amp; j + i).Value = Record(0, 0, 25)    ' addendum eCheck fixed</t>
  </si>
  <si>
    <t xml:space="preserve">          Range("aa" &amp; j + i).Value = Record(0, 0, 27)    ' addendum Amex fixed</t>
  </si>
  <si>
    <t xml:space="preserve">          Range("ab" &amp; j + i).Value = Record(0, 0, 28)    ' addendum Scan fixed</t>
  </si>
  <si>
    <t xml:space="preserve">          Range("ac" &amp; j + i).Value = Record(0, 0, 29)    ' addendum MMF fixed</t>
  </si>
  <si>
    <t xml:space="preserve">          Range("ad" &amp; j + i).Value = Record(0, 0, 30)    ' addendum PayByCash fixed</t>
  </si>
  <si>
    <t xml:space="preserve">          Range("ae" &amp; j + i).Value = Record(0, 0, 31)    ' debit date</t>
  </si>
  <si>
    <t xml:space="preserve">          Range("af" &amp; j + i).Value = Record(0, 0, 32)    ' debit debit rate variable</t>
  </si>
  <si>
    <t xml:space="preserve">          Range("ag" &amp; j + i).Value = Record(0, 0, 33)    ' debit debit rate fixed</t>
  </si>
  <si>
    <t xml:space="preserve">          Range("ah" &amp; j + i).Value = Record(0, 0, 34)    ' install date</t>
  </si>
  <si>
    <t xml:space="preserve">          Range("ai" &amp; j + i).Value = Record(0, 0, 35)    ' date inactivated</t>
  </si>
  <si>
    <t xml:space="preserve">          Range("aj" &amp; j + i).Value = Record(0, 0, 36)    ' error type</t>
  </si>
  <si>
    <t xml:space="preserve">          Range("ak" &amp; j + i).Value = Record(0, 0, 37)    ' action item</t>
  </si>
  <si>
    <t xml:space="preserve">          Range("al" &amp; j + i).Value = Record(0, 0, 38)    ' notes</t>
  </si>
  <si>
    <t xml:space="preserve">          Range("am" &amp; j + i).Value = Record(1, j, 0)    ' year</t>
  </si>
  <si>
    <t xml:space="preserve">          Range("an" &amp; j + i).Value = Record(2, j, 0)    ' internal</t>
  </si>
  <si>
    <t xml:space="preserve">          Range("ao" &amp; j + i).Value = Record(3, j, 0)    ' contractor</t>
  </si>
  <si>
    <t xml:space="preserve">          'Sheets("DB").Range(Column &amp; i).Value = Record(j)</t>
  </si>
  <si>
    <t xml:space="preserve">          'Column = Chr(Asc(Column) + 1)</t>
  </si>
  <si>
    <t xml:space="preserve">      Next j</t>
  </si>
  <si>
    <t xml:space="preserve">    'Close the looped file without savingCo</t>
  </si>
  <si>
    <t xml:space="preserve">    sumj = UBound(Record, 2)</t>
  </si>
  <si>
    <t xml:space="preserve">    i = sumj + i</t>
  </si>
  <si>
    <t>fix the notes</t>
  </si>
  <si>
    <t>C:\Users\jskilbeck\Desktop\Projects\Rev Audit 2\Test VBA\Path\Mondaytest</t>
  </si>
  <si>
    <t>05-30319330</t>
  </si>
  <si>
    <t>Oceanfront Realty Inc.</t>
  </si>
  <si>
    <t>2. No Contract, V2=Bill</t>
  </si>
  <si>
    <t>mmf</t>
  </si>
  <si>
    <t xml:space="preserve">NOTES:  There's no contract that can be found. Currently, the debit letter=IP=Bililng.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</si>
</sst>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\$* #,##0.00_);_(\$* \(#,##0.00\);_(\$* \-??_);_(@_)"/>
    <numFmt numFmtId="169" formatCode="_(* #,##0.00_);_(* \(#,##0.00\);_(* \-??_);_(@_)"/>
    <numFmt numFmtId="170" formatCode="_(\$* #,##0_);_(\$* \(#,##0\);_(\$* \-??_);_(@_)"/>
    <numFmt numFmtId="171" formatCode="_(* #,##0_);_(* \(#,##0\);_(* \-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BFBFBF"/>
        <bgColor rgb="FFE6B9B8"/>
      </patternFill>
    </fill>
    <fill>
      <patternFill patternType="solid">
        <fgColor rgb="FFD99694"/>
        <bgColor rgb="FFFF99CC"/>
      </patternFill>
    </fill>
    <fill>
      <patternFill patternType="solid">
        <fgColor rgb="FF808080"/>
        <bgColor rgb="FF666699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A6A6A6"/>
      </patternFill>
    </fill>
    <fill>
      <patternFill patternType="solid">
        <fgColor rgb="FFA6A6A6"/>
        <bgColor rgb="FFBFBFBF"/>
      </patternFill>
    </fill>
    <fill>
      <patternFill patternType="solid">
        <fgColor rgb="FFE6B9B8"/>
        <bgColor rgb="FFBFBFBF"/>
      </patternFill>
    </fill>
    <fill>
      <patternFill patternType="solid">
        <fgColor rgb="FFD9D9D9"/>
        <bgColor rgb="FFBFBFBF"/>
      </patternFill>
    </fill>
  </fills>
  <borders count="2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5">
    <xf numFmtId="0" fontId="0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</cellStyleXfs>
  <cellXfs count="10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0" fillId="0" borderId="4" xfId="0" applyBorder="1" applyAlignment="1"/>
    <xf numFmtId="0" fontId="0" fillId="0" borderId="0" xfId="0" applyNumberFormat="1"/>
    <xf numFmtId="10" fontId="0" fillId="0" borderId="0" xfId="0" applyNumberFormat="1"/>
    <xf numFmtId="165" fontId="0" fillId="0" borderId="0" xfId="0" applyNumberFormat="1"/>
    <xf numFmtId="0" fontId="5" fillId="4" borderId="13" xfId="4" applyFont="1" applyFill="1" applyBorder="1" applyAlignment="1" applyProtection="1">
      <protection locked="0"/>
    </xf>
    <xf numFmtId="0" fontId="7" fillId="0" borderId="12" xfId="4" applyFont="1" applyBorder="1" applyAlignment="1" applyProtection="1">
      <alignment horizontal="center" vertical="top"/>
      <protection locked="0"/>
    </xf>
    <xf numFmtId="0" fontId="6" fillId="0" borderId="14" xfId="4" applyFont="1" applyBorder="1" applyAlignment="1" applyProtection="1">
      <protection locked="0"/>
    </xf>
    <xf numFmtId="0" fontId="5" fillId="0" borderId="0" xfId="4" applyFont="1" applyBorder="1" applyAlignment="1" applyProtection="1">
      <protection locked="0"/>
    </xf>
    <xf numFmtId="0" fontId="5" fillId="0" borderId="12" xfId="4" applyFont="1" applyBorder="1" applyAlignment="1" applyProtection="1">
      <alignment horizontal="center"/>
      <protection locked="0"/>
    </xf>
    <xf numFmtId="0" fontId="6" fillId="0" borderId="0" xfId="4" applyFont="1" applyBorder="1" applyAlignment="1" applyProtection="1">
      <alignment horizontal="left" vertical="top"/>
      <protection locked="0"/>
    </xf>
    <xf numFmtId="0" fontId="7" fillId="0" borderId="12" xfId="4" applyFont="1" applyBorder="1" applyAlignment="1" applyProtection="1">
      <protection locked="0"/>
    </xf>
    <xf numFmtId="0" fontId="7" fillId="0" borderId="14" xfId="4" applyFont="1" applyBorder="1" applyAlignment="1" applyProtection="1">
      <protection locked="0"/>
    </xf>
    <xf numFmtId="0" fontId="6" fillId="7" borderId="12" xfId="4" applyFont="1" applyFill="1" applyBorder="1" applyAlignment="1" applyProtection="1">
      <protection locked="0"/>
    </xf>
    <xf numFmtId="10" fontId="5" fillId="0" borderId="12" xfId="4" applyNumberFormat="1" applyFont="1" applyBorder="1" applyAlignment="1" applyProtection="1">
      <alignment horizontal="center"/>
      <protection locked="0"/>
    </xf>
    <xf numFmtId="0" fontId="5" fillId="0" borderId="12" xfId="4" applyFont="1" applyBorder="1" applyAlignment="1" applyProtection="1">
      <protection locked="0"/>
    </xf>
    <xf numFmtId="14" fontId="6" fillId="0" borderId="12" xfId="4" applyNumberFormat="1" applyFont="1" applyBorder="1" applyAlignment="1" applyProtection="1">
      <protection locked="0"/>
    </xf>
    <xf numFmtId="169" fontId="7" fillId="0" borderId="12" xfId="2" applyNumberFormat="1" applyFont="1" applyBorder="1" applyAlignment="1" applyProtection="1">
      <protection locked="0"/>
    </xf>
    <xf numFmtId="0" fontId="6" fillId="5" borderId="0" xfId="4" applyFont="1" applyFill="1" applyBorder="1" applyAlignment="1" applyProtection="1">
      <protection locked="0"/>
    </xf>
    <xf numFmtId="0" fontId="6" fillId="5" borderId="23" xfId="4" applyFont="1" applyFill="1" applyBorder="1" applyAlignment="1" applyProtection="1">
      <protection locked="0"/>
    </xf>
    <xf numFmtId="0" fontId="6" fillId="5" borderId="13" xfId="4" applyFont="1" applyFill="1" applyBorder="1" applyAlignment="1" applyProtection="1">
      <protection locked="0"/>
    </xf>
    <xf numFmtId="0" fontId="6" fillId="5" borderId="24" xfId="4" applyFont="1" applyFill="1" applyBorder="1" applyAlignment="1" applyProtection="1">
      <protection locked="0"/>
    </xf>
    <xf numFmtId="0" fontId="6" fillId="5" borderId="25" xfId="4" applyFont="1" applyFill="1" applyBorder="1" applyAlignment="1" applyProtection="1">
      <protection locked="0"/>
    </xf>
    <xf numFmtId="166" fontId="5" fillId="0" borderId="12" xfId="2" applyFont="1" applyBorder="1" applyAlignment="1" applyProtection="1">
      <protection locked="0"/>
    </xf>
    <xf numFmtId="1" fontId="7" fillId="0" borderId="12" xfId="1" applyNumberFormat="1" applyFont="1" applyBorder="1" applyAlignment="1" applyProtection="1">
      <alignment horizontal="right"/>
      <protection locked="0"/>
    </xf>
    <xf numFmtId="1" fontId="7" fillId="0" borderId="14" xfId="1" applyNumberFormat="1" applyFont="1" applyBorder="1" applyAlignment="1" applyProtection="1">
      <alignment horizontal="right"/>
      <protection locked="0"/>
    </xf>
    <xf numFmtId="168" fontId="6" fillId="10" borderId="12" xfId="4" applyNumberFormat="1" applyFont="1" applyFill="1" applyBorder="1" applyAlignment="1" applyProtection="1">
      <protection locked="0"/>
    </xf>
    <xf numFmtId="10" fontId="7" fillId="0" borderId="12" xfId="3" applyNumberFormat="1" applyFont="1" applyBorder="1" applyAlignment="1" applyProtection="1">
      <alignment horizontal="center"/>
      <protection locked="0"/>
    </xf>
    <xf numFmtId="166" fontId="7" fillId="0" borderId="12" xfId="2" applyFont="1" applyBorder="1" applyAlignment="1" applyProtection="1">
      <alignment horizontal="center"/>
      <protection locked="0"/>
    </xf>
    <xf numFmtId="166" fontId="7" fillId="0" borderId="12" xfId="2" applyFont="1" applyBorder="1" applyAlignment="1" applyProtection="1">
      <protection locked="0"/>
    </xf>
    <xf numFmtId="166" fontId="7" fillId="0" borderId="26" xfId="2" applyFont="1" applyBorder="1" applyAlignment="1" applyProtection="1">
      <protection locked="0"/>
    </xf>
    <xf numFmtId="0" fontId="5" fillId="3" borderId="14" xfId="4" applyFont="1" applyFill="1" applyBorder="1" applyAlignment="1" applyProtection="1">
      <protection locked="0"/>
    </xf>
    <xf numFmtId="170" fontId="5" fillId="3" borderId="12" xfId="4" applyNumberFormat="1" applyFont="1" applyFill="1" applyBorder="1" applyAlignment="1" applyProtection="1">
      <protection locked="0"/>
    </xf>
    <xf numFmtId="171" fontId="5" fillId="3" borderId="12" xfId="1" applyNumberFormat="1" applyFont="1" applyFill="1" applyBorder="1" applyAlignment="1" applyProtection="1">
      <protection locked="0"/>
    </xf>
    <xf numFmtId="171" fontId="5" fillId="3" borderId="14" xfId="1" applyNumberFormat="1" applyFont="1" applyFill="1" applyBorder="1" applyAlignment="1" applyProtection="1">
      <protection locked="0"/>
    </xf>
    <xf numFmtId="10" fontId="5" fillId="3" borderId="12" xfId="3" applyNumberFormat="1" applyFont="1" applyFill="1" applyBorder="1" applyAlignment="1" applyProtection="1">
      <protection locked="0"/>
    </xf>
    <xf numFmtId="168" fontId="5" fillId="3" borderId="12" xfId="4" applyNumberFormat="1" applyFont="1" applyFill="1" applyBorder="1" applyAlignment="1" applyProtection="1">
      <protection locked="0"/>
    </xf>
    <xf numFmtId="168" fontId="6" fillId="9" borderId="12" xfId="4" applyNumberFormat="1" applyFont="1" applyFill="1" applyBorder="1" applyAlignment="1" applyProtection="1">
      <protection locked="0"/>
    </xf>
    <xf numFmtId="1" fontId="5" fillId="0" borderId="12" xfId="2" applyNumberFormat="1" applyFont="1" applyBorder="1" applyAlignment="1" applyProtection="1">
      <protection locked="0"/>
    </xf>
    <xf numFmtId="166" fontId="7" fillId="0" borderId="14" xfId="2" applyFont="1" applyBorder="1" applyAlignment="1" applyProtection="1">
      <alignment horizontal="center"/>
      <protection locked="0"/>
    </xf>
    <xf numFmtId="166" fontId="7" fillId="0" borderId="14" xfId="2" applyFont="1" applyBorder="1" applyAlignment="1" applyProtection="1">
      <protection locked="0"/>
    </xf>
    <xf numFmtId="168" fontId="5" fillId="3" borderId="14" xfId="4" applyNumberFormat="1" applyFont="1" applyFill="1" applyBorder="1" applyAlignment="1" applyProtection="1">
      <protection locked="0"/>
    </xf>
    <xf numFmtId="0" fontId="6" fillId="0" borderId="0" xfId="4" applyFont="1" applyBorder="1" applyAlignment="1"/>
    <xf numFmtId="168" fontId="6" fillId="0" borderId="12" xfId="4" applyNumberFormat="1" applyFont="1" applyBorder="1" applyAlignment="1" applyProtection="1">
      <protection locked="0"/>
    </xf>
    <xf numFmtId="0" fontId="7" fillId="5" borderId="15" xfId="4" applyFont="1" applyFill="1" applyBorder="1" applyAlignment="1" applyProtection="1">
      <protection locked="0"/>
    </xf>
    <xf numFmtId="168" fontId="6" fillId="5" borderId="15" xfId="4" applyNumberFormat="1" applyFont="1" applyFill="1" applyBorder="1" applyAlignment="1" applyProtection="1">
      <protection locked="0"/>
    </xf>
    <xf numFmtId="168" fontId="6" fillId="5" borderId="12" xfId="4" applyNumberFormat="1" applyFont="1" applyFill="1" applyBorder="1" applyAlignment="1" applyProtection="1">
      <protection locked="0"/>
    </xf>
    <xf numFmtId="10" fontId="6" fillId="0" borderId="16" xfId="4" applyNumberFormat="1" applyFont="1" applyBorder="1" applyAlignment="1" applyProtection="1">
      <protection locked="0"/>
    </xf>
    <xf numFmtId="168" fontId="6" fillId="0" borderId="16" xfId="4" applyNumberFormat="1" applyFont="1" applyBorder="1" applyAlignment="1" applyProtection="1">
      <protection locked="0"/>
    </xf>
    <xf numFmtId="10" fontId="6" fillId="4" borderId="15" xfId="4" applyNumberFormat="1" applyFont="1" applyFill="1" applyBorder="1" applyAlignment="1" applyProtection="1">
      <protection locked="0"/>
    </xf>
    <xf numFmtId="168" fontId="6" fillId="4" borderId="17" xfId="4" applyNumberFormat="1" applyFont="1" applyFill="1" applyBorder="1" applyAlignment="1" applyProtection="1">
      <protection locked="0"/>
    </xf>
    <xf numFmtId="0" fontId="6" fillId="8" borderId="18" xfId="4" applyFont="1" applyFill="1" applyBorder="1" applyAlignment="1" applyProtection="1">
      <protection locked="0"/>
    </xf>
    <xf numFmtId="0" fontId="6" fillId="0" borderId="12" xfId="4" applyFont="1" applyBorder="1" applyAlignment="1" applyProtection="1">
      <protection locked="0"/>
    </xf>
    <xf numFmtId="10" fontId="6" fillId="0" borderId="12" xfId="4" applyNumberFormat="1" applyFont="1" applyBorder="1" applyAlignment="1" applyProtection="1">
      <protection locked="0"/>
    </xf>
    <xf numFmtId="169" fontId="6" fillId="0" borderId="12" xfId="4" applyNumberFormat="1" applyFont="1" applyBorder="1" applyAlignment="1" applyProtection="1">
      <protection locked="0"/>
    </xf>
    <xf numFmtId="10" fontId="6" fillId="5" borderId="19" xfId="4" applyNumberFormat="1" applyFont="1" applyFill="1" applyBorder="1" applyAlignment="1" applyProtection="1">
      <protection locked="0"/>
    </xf>
    <xf numFmtId="168" fontId="6" fillId="5" borderId="20" xfId="4" applyNumberFormat="1" applyFont="1" applyFill="1" applyBorder="1" applyAlignment="1" applyProtection="1">
      <protection locked="0"/>
    </xf>
    <xf numFmtId="10" fontId="6" fillId="5" borderId="20" xfId="4" applyNumberFormat="1" applyFont="1" applyFill="1" applyBorder="1" applyAlignment="1" applyProtection="1">
      <protection locked="0"/>
    </xf>
    <xf numFmtId="10" fontId="6" fillId="5" borderId="21" xfId="4" applyNumberFormat="1" applyFont="1" applyFill="1" applyBorder="1" applyAlignment="1" applyProtection="1">
      <protection locked="0"/>
    </xf>
    <xf numFmtId="0" fontId="6" fillId="5" borderId="22" xfId="4" applyFont="1" applyFill="1" applyBorder="1" applyAlignment="1" applyProtection="1">
      <protection locked="0"/>
    </xf>
    <xf numFmtId="0" fontId="5" fillId="0" borderId="13" xfId="4" applyFont="1" applyBorder="1" applyAlignment="1" applyProtection="1">
      <protection locked="0"/>
    </xf>
    <xf numFmtId="0" fontId="5" fillId="0" borderId="14" xfId="4" applyFont="1" applyBorder="1" applyAlignment="1" applyProtection="1">
      <alignment horizontal="center"/>
      <protection locked="0"/>
    </xf>
    <xf numFmtId="0" fontId="5" fillId="0" borderId="15" xfId="4" applyFont="1" applyBorder="1" applyAlignment="1" applyProtection="1">
      <alignment horizontal="center"/>
      <protection locked="0"/>
    </xf>
    <xf numFmtId="0" fontId="5" fillId="0" borderId="25" xfId="4" applyFont="1" applyBorder="1" applyAlignment="1" applyProtection="1">
      <alignment horizontal="center"/>
      <protection locked="0"/>
    </xf>
    <xf numFmtId="0" fontId="5" fillId="0" borderId="18" xfId="4" applyFont="1" applyBorder="1" applyAlignment="1" applyProtection="1">
      <alignment horizontal="center"/>
      <protection locked="0"/>
    </xf>
    <xf numFmtId="0" fontId="5" fillId="10" borderId="18" xfId="4" applyFont="1" applyFill="1" applyBorder="1" applyAlignment="1" applyProtection="1">
      <alignment horizontal="center"/>
      <protection locked="0"/>
    </xf>
    <xf numFmtId="168" fontId="5" fillId="0" borderId="12" xfId="4" applyNumberFormat="1" applyFont="1" applyBorder="1" applyAlignment="1"/>
    <xf numFmtId="170" fontId="5" fillId="0" borderId="12" xfId="4" applyNumberFormat="1" applyFont="1" applyBorder="1" applyAlignment="1" applyProtection="1">
      <protection locked="0"/>
    </xf>
    <xf numFmtId="1" fontId="7" fillId="0" borderId="12" xfId="4" applyNumberFormat="1" applyFont="1" applyBorder="1" applyAlignment="1"/>
    <xf numFmtId="168" fontId="6" fillId="0" borderId="26" xfId="4" applyNumberFormat="1" applyFont="1" applyBorder="1" applyAlignment="1" applyProtection="1">
      <protection locked="0"/>
    </xf>
    <xf numFmtId="10" fontId="6" fillId="0" borderId="19" xfId="4" applyNumberFormat="1" applyFont="1" applyBorder="1" applyAlignment="1" applyProtection="1">
      <protection locked="0"/>
    </xf>
    <xf numFmtId="168" fontId="5" fillId="3" borderId="26" xfId="4" applyNumberFormat="1" applyFont="1" applyFill="1" applyBorder="1" applyAlignment="1" applyProtection="1">
      <protection locked="0"/>
    </xf>
    <xf numFmtId="0" fontId="7" fillId="9" borderId="14" xfId="4" applyFont="1" applyFill="1" applyBorder="1" applyAlignment="1" applyProtection="1">
      <protection locked="0"/>
    </xf>
    <xf numFmtId="0" fontId="6" fillId="9" borderId="12" xfId="4" applyFont="1" applyFill="1" applyBorder="1" applyAlignment="1" applyProtection="1">
      <protection locked="0"/>
    </xf>
    <xf numFmtId="0" fontId="6" fillId="9" borderId="14" xfId="4" applyFont="1" applyFill="1" applyBorder="1" applyAlignment="1" applyProtection="1">
      <protection locked="0"/>
    </xf>
    <xf numFmtId="168" fontId="6" fillId="9" borderId="26" xfId="4" applyNumberFormat="1" applyFont="1" applyFill="1" applyBorder="1" applyAlignment="1" applyProtection="1">
      <protection locked="0"/>
    </xf>
    <xf numFmtId="168" fontId="6" fillId="0" borderId="14" xfId="4" applyNumberFormat="1" applyFont="1" applyBorder="1" applyAlignment="1" applyProtection="1">
      <protection locked="0"/>
    </xf>
    <xf numFmtId="1" fontId="6" fillId="0" borderId="12" xfId="4" applyNumberFormat="1" applyFont="1" applyBorder="1" applyAlignment="1"/>
    <xf numFmtId="0" fontId="6" fillId="0" borderId="24" xfId="4" applyFont="1" applyBorder="1" applyAlignment="1" applyProtection="1">
      <protection locked="0"/>
    </xf>
    <xf numFmtId="0" fontId="6" fillId="0" borderId="0" xfId="4" applyFont="1" applyBorder="1" applyAlignment="1" applyProtection="1">
      <protection locked="0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5" fillId="3" borderId="12" xfId="4" applyFont="1" applyFill="1" applyBorder="1" applyAlignment="1" applyProtection="1">
      <alignment horizontal="center"/>
      <protection locked="0"/>
    </xf>
    <xf numFmtId="0" fontId="5" fillId="4" borderId="12" xfId="4" applyFont="1" applyFill="1" applyBorder="1" applyAlignment="1" applyProtection="1">
      <alignment horizontal="left"/>
      <protection locked="0"/>
    </xf>
    <xf numFmtId="0" fontId="7" fillId="0" borderId="12" xfId="4" applyFont="1" applyBorder="1" applyAlignment="1" applyProtection="1">
      <alignment horizontal="center" vertical="center"/>
      <protection locked="0"/>
    </xf>
    <xf numFmtId="0" fontId="6" fillId="0" borderId="12" xfId="4" applyFont="1" applyBorder="1" applyAlignment="1" applyProtection="1">
      <protection locked="0"/>
    </xf>
    <xf numFmtId="0" fontId="5" fillId="9" borderId="12" xfId="4" applyFont="1" applyFill="1" applyBorder="1" applyAlignment="1" applyProtection="1">
      <alignment horizontal="center"/>
      <protection locked="0"/>
    </xf>
    <xf numFmtId="14" fontId="6" fillId="0" borderId="12" xfId="4" applyNumberFormat="1" applyFont="1" applyBorder="1" applyAlignment="1" applyProtection="1">
      <alignment horizontal="center" vertical="center"/>
      <protection locked="0"/>
    </xf>
    <xf numFmtId="0" fontId="7" fillId="0" borderId="12" xfId="4" applyFont="1" applyBorder="1" applyAlignment="1" applyProtection="1">
      <alignment horizontal="left" vertical="top"/>
      <protection locked="0"/>
    </xf>
    <xf numFmtId="168" fontId="6" fillId="6" borderId="12" xfId="4" applyNumberFormat="1" applyFont="1" applyFill="1" applyBorder="1" applyAlignment="1" applyProtection="1">
      <protection locked="0"/>
    </xf>
    <xf numFmtId="168" fontId="6" fillId="7" borderId="12" xfId="4" applyNumberFormat="1" applyFont="1" applyFill="1" applyBorder="1" applyAlignment="1" applyProtection="1">
      <protection locked="0"/>
    </xf>
  </cellXfs>
  <cellStyles count="5">
    <cellStyle name="Comma" xfId="1" builtinId="3"/>
    <cellStyle name="Currency" xfId="2" builtinId="4"/>
    <cellStyle name="Normal" xfId="0" builtinId="0"/>
    <cellStyle name="Percent" xfId="3" builtinId="5"/>
    <cellStyle name="TableStyleLight1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596900</xdr:colOff>
          <xdr:row>13</xdr:row>
          <xdr:rowOff>12700</xdr:rowOff>
        </xdr:from>
        <xdr:to>
          <xdr:col>5</xdr:col>
          <xdr:colOff>215900</xdr:colOff>
          <xdr:row>14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4" tint="0.59999389629810485"/>
  </sheetPr>
  <dimension ref="B2:R87"/>
  <sheetViews>
    <sheetView showGridLines="0" zoomScale="85" zoomScaleNormal="85" zoomScalePageLayoutView="85" workbookViewId="0">
      <selection activeCell="E15" sqref="E15"/>
    </sheetView>
  </sheetViews>
  <sheetFormatPr baseColWidth="10" defaultColWidth="8.83203125" defaultRowHeight="14" x14ac:dyDescent="0"/>
  <cols>
    <col min="4" max="4" width="18" bestFit="1" customWidth="1"/>
    <col min="5" max="5" width="15.83203125" bestFit="1" customWidth="1"/>
    <col min="6" max="6" width="14.5" bestFit="1" customWidth="1"/>
    <col min="7" max="13" width="9.33203125" bestFit="1" customWidth="1"/>
    <col min="14" max="15" width="14.5" bestFit="1" customWidth="1"/>
    <col min="16" max="16" width="10.5" bestFit="1" customWidth="1"/>
  </cols>
  <sheetData>
    <row r="2" spans="2:13" ht="15" thickBot="1"/>
    <row r="3" spans="2:13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3"/>
    </row>
    <row r="4" spans="2:13">
      <c r="B4" s="4"/>
      <c r="C4" s="5" t="s">
        <v>155</v>
      </c>
      <c r="D4" s="5"/>
      <c r="E4" s="5"/>
      <c r="F4" s="5"/>
      <c r="G4" s="5"/>
      <c r="H4" s="5"/>
      <c r="I4" s="5"/>
      <c r="J4" s="5"/>
      <c r="K4" s="5"/>
      <c r="L4" s="5"/>
      <c r="M4" s="6"/>
    </row>
    <row r="5" spans="2:13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6"/>
    </row>
    <row r="6" spans="2:13">
      <c r="B6" s="4"/>
      <c r="C6" s="5" t="s">
        <v>23</v>
      </c>
      <c r="D6" s="5"/>
      <c r="E6" s="5"/>
      <c r="F6" s="5"/>
      <c r="G6" s="5"/>
      <c r="H6" s="5"/>
      <c r="I6" s="5"/>
      <c r="J6" s="5"/>
      <c r="K6" s="5"/>
      <c r="L6" s="5"/>
      <c r="M6" s="6"/>
    </row>
    <row r="7" spans="2:13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6"/>
    </row>
    <row r="8" spans="2:13">
      <c r="B8" s="4"/>
      <c r="C8" s="5" t="s">
        <v>24</v>
      </c>
      <c r="D8" s="5"/>
      <c r="E8" s="5"/>
      <c r="F8" s="5"/>
      <c r="G8" s="5"/>
      <c r="H8" s="5"/>
      <c r="I8" s="5"/>
      <c r="J8" s="5"/>
      <c r="K8" s="5"/>
      <c r="L8" s="5"/>
      <c r="M8" s="6"/>
    </row>
    <row r="9" spans="2:13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6"/>
    </row>
    <row r="10" spans="2:13">
      <c r="B10" s="4"/>
      <c r="C10" s="5" t="s">
        <v>27</v>
      </c>
      <c r="D10" s="5"/>
      <c r="E10" s="5"/>
      <c r="F10" s="5"/>
      <c r="G10" s="5"/>
      <c r="H10" s="5"/>
      <c r="I10" s="5"/>
      <c r="J10" s="5"/>
      <c r="K10" s="5"/>
      <c r="L10" s="5"/>
      <c r="M10" s="6"/>
    </row>
    <row r="11" spans="2:13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6"/>
    </row>
    <row r="12" spans="2:13">
      <c r="B12" s="4"/>
      <c r="C12" s="5" t="s">
        <v>25</v>
      </c>
      <c r="D12" s="5"/>
      <c r="E12" s="92" t="s">
        <v>262</v>
      </c>
      <c r="F12" s="93"/>
      <c r="G12" s="93"/>
      <c r="H12" s="93"/>
      <c r="I12" s="93"/>
      <c r="J12" s="93"/>
      <c r="K12" s="93"/>
      <c r="L12" s="94"/>
      <c r="M12" s="6"/>
    </row>
    <row r="13" spans="2:13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6"/>
    </row>
    <row r="14" spans="2:13">
      <c r="B14" s="4"/>
      <c r="C14" s="5" t="s">
        <v>26</v>
      </c>
      <c r="D14" s="5"/>
      <c r="E14" s="5"/>
      <c r="F14" s="5"/>
      <c r="G14" s="5"/>
      <c r="H14" s="5"/>
      <c r="I14" s="5"/>
      <c r="J14" s="5"/>
      <c r="K14" s="5"/>
      <c r="L14" s="5"/>
      <c r="M14" s="6"/>
    </row>
    <row r="15" spans="2:13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6"/>
    </row>
    <row r="16" spans="2:13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6"/>
    </row>
    <row r="17" spans="2:18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6"/>
    </row>
    <row r="18" spans="2:18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6"/>
    </row>
    <row r="19" spans="2:18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6"/>
    </row>
    <row r="20" spans="2:18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6"/>
    </row>
    <row r="21" spans="2:18" ht="15" thickBot="1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9"/>
    </row>
    <row r="23" spans="2:18" ht="15" thickBot="1"/>
    <row r="24" spans="2:18" ht="15" thickBot="1">
      <c r="B24" s="1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3"/>
    </row>
    <row r="25" spans="2:18" ht="16" thickTop="1" thickBot="1">
      <c r="B25" s="13"/>
      <c r="C25" s="95" t="s">
        <v>112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6"/>
    </row>
    <row r="26" spans="2:18" ht="16" thickTop="1" thickBot="1">
      <c r="B26" s="13"/>
      <c r="C26" s="17" t="s">
        <v>6</v>
      </c>
      <c r="D26" s="96" t="s">
        <v>68</v>
      </c>
      <c r="E26" s="96"/>
      <c r="F26" s="96"/>
      <c r="G26" s="96"/>
      <c r="H26" s="96"/>
      <c r="I26" s="96"/>
      <c r="J26" s="96"/>
      <c r="K26" s="91"/>
      <c r="L26" s="91"/>
      <c r="M26" s="91"/>
      <c r="N26" s="91"/>
      <c r="O26" s="18" t="s">
        <v>113</v>
      </c>
      <c r="P26" s="97" t="s">
        <v>100</v>
      </c>
      <c r="Q26" s="97"/>
      <c r="R26" s="6"/>
    </row>
    <row r="27" spans="2:18" ht="16" thickTop="1" thickBot="1">
      <c r="B27" s="13"/>
      <c r="C27" s="19" t="s">
        <v>7</v>
      </c>
      <c r="D27" s="98" t="s">
        <v>67</v>
      </c>
      <c r="E27" s="98"/>
      <c r="F27" s="98"/>
      <c r="G27" s="98"/>
      <c r="H27" s="98"/>
      <c r="I27" s="98"/>
      <c r="J27" s="98"/>
      <c r="K27" s="91"/>
      <c r="L27" s="91"/>
      <c r="M27" s="91"/>
      <c r="N27" s="91"/>
      <c r="O27" s="18" t="s">
        <v>114</v>
      </c>
      <c r="P27" s="97" t="s">
        <v>115</v>
      </c>
      <c r="Q27" s="97"/>
      <c r="R27" s="6"/>
    </row>
    <row r="28" spans="2:18" ht="16" thickTop="1" thickBot="1">
      <c r="B28" s="13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18" t="s">
        <v>116</v>
      </c>
      <c r="P28" s="100">
        <v>41602</v>
      </c>
      <c r="Q28" s="100"/>
      <c r="R28" s="6"/>
    </row>
    <row r="29" spans="2:18" ht="16" thickTop="1" thickBot="1">
      <c r="B29" s="13"/>
      <c r="C29" s="20"/>
      <c r="D29" s="21" t="s">
        <v>99</v>
      </c>
      <c r="E29" s="21" t="s">
        <v>100</v>
      </c>
      <c r="F29" s="54"/>
      <c r="G29" s="54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6"/>
    </row>
    <row r="30" spans="2:18" ht="15" customHeight="1" thickTop="1" thickBot="1">
      <c r="B30" s="13"/>
      <c r="C30" s="23" t="s">
        <v>117</v>
      </c>
      <c r="D30" s="55">
        <f>$N$34</f>
        <v>0</v>
      </c>
      <c r="E30" s="55">
        <v>0</v>
      </c>
      <c r="F30" s="22"/>
      <c r="G30" s="101" t="s">
        <v>118</v>
      </c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6"/>
    </row>
    <row r="31" spans="2:18" ht="16" thickTop="1" thickBot="1">
      <c r="B31" s="13"/>
      <c r="C31" s="24" t="s">
        <v>119</v>
      </c>
      <c r="D31" s="55">
        <f>+$N$48</f>
        <v>38787.820949000001</v>
      </c>
      <c r="E31" s="55">
        <v>-37</v>
      </c>
      <c r="F31" s="22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6"/>
    </row>
    <row r="32" spans="2:18" ht="16" thickTop="1" thickBot="1">
      <c r="B32" s="13"/>
      <c r="C32" s="24" t="s">
        <v>120</v>
      </c>
      <c r="D32" s="55">
        <f>$N$62</f>
        <v>39906.812276999997</v>
      </c>
      <c r="E32" s="55">
        <v>-41</v>
      </c>
      <c r="F32" s="22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6"/>
    </row>
    <row r="33" spans="2:18" ht="16" thickTop="1" thickBot="1">
      <c r="B33" s="13"/>
      <c r="C33" s="56" t="s">
        <v>121</v>
      </c>
      <c r="D33" s="57">
        <f>SUM(D30:D32)</f>
        <v>78694.633226000005</v>
      </c>
      <c r="E33" s="58">
        <f>SUM(E30:E32)</f>
        <v>-78</v>
      </c>
      <c r="F33" s="22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6"/>
    </row>
    <row r="34" spans="2:18" ht="16" thickTop="1" thickBot="1">
      <c r="B34" s="13"/>
      <c r="C34" s="59"/>
      <c r="D34" s="60"/>
      <c r="E34" s="91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6"/>
    </row>
    <row r="35" spans="2:18" ht="16" thickTop="1" thickBot="1">
      <c r="B35" s="13"/>
      <c r="C35" s="61" t="s">
        <v>5</v>
      </c>
      <c r="D35" s="62">
        <f>D33-E33</f>
        <v>78772.633226000005</v>
      </c>
      <c r="E35" s="91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6"/>
    </row>
    <row r="36" spans="2:18" ht="16" thickTop="1" thickBot="1">
      <c r="B36" s="13"/>
      <c r="C36" s="61" t="s">
        <v>22</v>
      </c>
      <c r="D36" s="102" t="s">
        <v>103</v>
      </c>
      <c r="E36" s="10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6"/>
    </row>
    <row r="37" spans="2:18" ht="16" thickTop="1" thickBot="1">
      <c r="B37" s="13"/>
      <c r="C37" s="25" t="s">
        <v>122</v>
      </c>
      <c r="D37" s="103" t="s">
        <v>102</v>
      </c>
      <c r="E37" s="103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6"/>
    </row>
    <row r="38" spans="2:18" ht="16" thickTop="1" thickBot="1">
      <c r="B38" s="13"/>
      <c r="C38" s="63"/>
      <c r="D38" s="63"/>
      <c r="E38" s="95" t="s">
        <v>123</v>
      </c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6"/>
    </row>
    <row r="39" spans="2:18" ht="16" thickTop="1" thickBot="1">
      <c r="B39" s="13"/>
      <c r="C39" s="64"/>
      <c r="D39" s="21" t="s">
        <v>9</v>
      </c>
      <c r="E39" s="21" t="s">
        <v>124</v>
      </c>
      <c r="F39" s="21" t="s">
        <v>125</v>
      </c>
      <c r="G39" s="26" t="s">
        <v>126</v>
      </c>
      <c r="H39" s="21" t="s">
        <v>127</v>
      </c>
      <c r="I39" s="26" t="s">
        <v>128</v>
      </c>
      <c r="J39" s="21" t="s">
        <v>129</v>
      </c>
      <c r="K39" s="21" t="s">
        <v>130</v>
      </c>
      <c r="L39" s="21" t="s">
        <v>131</v>
      </c>
      <c r="M39" s="21" t="s">
        <v>132</v>
      </c>
      <c r="N39" s="21" t="s">
        <v>133</v>
      </c>
      <c r="O39" s="21" t="s">
        <v>134</v>
      </c>
      <c r="P39" s="21" t="s">
        <v>135</v>
      </c>
      <c r="Q39" s="21" t="s">
        <v>136</v>
      </c>
      <c r="R39" s="6"/>
    </row>
    <row r="40" spans="2:18" ht="16" thickTop="1" thickBot="1">
      <c r="B40" s="13"/>
      <c r="C40" s="27" t="s">
        <v>3</v>
      </c>
      <c r="D40" s="28">
        <v>40477</v>
      </c>
      <c r="E40" s="65">
        <v>2.0899999999999998E-2</v>
      </c>
      <c r="F40" s="66">
        <v>0.1</v>
      </c>
      <c r="G40" s="65">
        <v>2.0899999999999998E-2</v>
      </c>
      <c r="H40" s="66">
        <v>0.1</v>
      </c>
      <c r="I40" s="65"/>
      <c r="J40" s="66"/>
      <c r="K40" s="65">
        <v>2.0899999999999998E-2</v>
      </c>
      <c r="L40" s="66">
        <v>0.1</v>
      </c>
      <c r="M40" s="29">
        <v>4.95</v>
      </c>
      <c r="N40" s="29">
        <v>0.25</v>
      </c>
      <c r="O40" s="29"/>
      <c r="P40" s="66"/>
      <c r="Q40" s="66"/>
      <c r="R40" s="6"/>
    </row>
    <row r="41" spans="2:18" ht="16" thickTop="1" thickBot="1">
      <c r="B41" s="13"/>
      <c r="C41" s="27" t="s">
        <v>4</v>
      </c>
      <c r="D41" s="28"/>
      <c r="E41" s="65"/>
      <c r="F41" s="66"/>
      <c r="G41" s="65"/>
      <c r="H41" s="66"/>
      <c r="I41" s="65"/>
      <c r="J41" s="66"/>
      <c r="K41" s="65"/>
      <c r="L41" s="66"/>
      <c r="M41" s="29"/>
      <c r="N41" s="29"/>
      <c r="O41" s="29"/>
      <c r="P41" s="66"/>
      <c r="Q41" s="66"/>
      <c r="R41" s="6"/>
    </row>
    <row r="42" spans="2:18" ht="16" thickTop="1" thickBot="1">
      <c r="B42" s="13"/>
      <c r="C42" s="27" t="s">
        <v>2</v>
      </c>
      <c r="D42" s="28">
        <v>40840</v>
      </c>
      <c r="E42" s="67"/>
      <c r="F42" s="68"/>
      <c r="G42" s="69"/>
      <c r="H42" s="69"/>
      <c r="I42" s="65">
        <v>5.8999999999999999E-3</v>
      </c>
      <c r="J42" s="66"/>
      <c r="K42" s="69"/>
      <c r="L42" s="69"/>
      <c r="M42" s="66">
        <v>0.5</v>
      </c>
      <c r="N42" s="69"/>
      <c r="O42" s="69"/>
      <c r="P42" s="69"/>
      <c r="Q42" s="70"/>
      <c r="R42" s="6"/>
    </row>
    <row r="43" spans="2:18" ht="16" thickTop="1" thickBot="1">
      <c r="B43" s="13"/>
      <c r="C43" s="27" t="s">
        <v>137</v>
      </c>
      <c r="D43" s="28">
        <v>40493</v>
      </c>
      <c r="E43" s="71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1"/>
      <c r="R43" s="6"/>
    </row>
    <row r="44" spans="2:18" ht="16" thickTop="1" thickBot="1">
      <c r="B44" s="13"/>
      <c r="C44" s="27" t="s">
        <v>138</v>
      </c>
      <c r="D44" s="28"/>
      <c r="E44" s="32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4"/>
      <c r="R44" s="6"/>
    </row>
    <row r="45" spans="2:18" ht="16" thickTop="1" thickBot="1">
      <c r="B45" s="13"/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6"/>
    </row>
    <row r="46" spans="2:18" ht="16" thickTop="1" thickBot="1">
      <c r="B46" s="13"/>
      <c r="C46" s="99" t="s">
        <v>139</v>
      </c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1"/>
      <c r="R46" s="6"/>
    </row>
    <row r="47" spans="2:18" ht="16" thickTop="1" thickBot="1">
      <c r="B47" s="13"/>
      <c r="C47" s="72" t="s">
        <v>8</v>
      </c>
      <c r="D47" s="21" t="s">
        <v>140</v>
      </c>
      <c r="E47" s="21" t="s">
        <v>141</v>
      </c>
      <c r="F47" s="21" t="s">
        <v>142</v>
      </c>
      <c r="G47" s="21" t="s">
        <v>143</v>
      </c>
      <c r="H47" s="21" t="s">
        <v>144</v>
      </c>
      <c r="I47" s="73" t="s">
        <v>145</v>
      </c>
      <c r="J47" s="74" t="s">
        <v>146</v>
      </c>
      <c r="K47" s="74" t="s">
        <v>147</v>
      </c>
      <c r="L47" s="21" t="s">
        <v>148</v>
      </c>
      <c r="M47" s="21" t="s">
        <v>149</v>
      </c>
      <c r="N47" s="75" t="s">
        <v>150</v>
      </c>
      <c r="O47" s="76" t="s">
        <v>151</v>
      </c>
      <c r="P47" s="77" t="s">
        <v>18</v>
      </c>
      <c r="Q47" s="91"/>
      <c r="R47" s="6"/>
    </row>
    <row r="48" spans="2:18" ht="16" thickTop="1" thickBot="1">
      <c r="B48" s="13"/>
      <c r="C48" s="24" t="s">
        <v>1</v>
      </c>
      <c r="D48" s="35">
        <v>1847498.61</v>
      </c>
      <c r="E48" s="78">
        <v>0</v>
      </c>
      <c r="F48" s="79">
        <f t="shared" ref="F48:F57" si="0">SUM(D48:E48)</f>
        <v>1847498.61</v>
      </c>
      <c r="G48" s="80">
        <v>1751</v>
      </c>
      <c r="H48" s="36"/>
      <c r="I48" s="37">
        <f t="shared" ref="I48:I57" si="1">+SUM(G48:H48)</f>
        <v>1751</v>
      </c>
      <c r="J48" s="65">
        <v>2.0899999999999998E-2</v>
      </c>
      <c r="K48" s="55">
        <v>0.1</v>
      </c>
      <c r="L48" s="65">
        <v>2.0899999999999998E-2</v>
      </c>
      <c r="M48" s="55">
        <v>0.1</v>
      </c>
      <c r="N48" s="81">
        <f t="shared" ref="N48:N54" si="2">+(D48*J48)+(E48*J48)+(G48*K48)+(H48*K48)</f>
        <v>38787.820949000001</v>
      </c>
      <c r="O48" s="55">
        <f>+(D48*J48)+(L48*E48)+(G48*K48)+(H48*M48)</f>
        <v>38787.820949000001</v>
      </c>
      <c r="P48" s="38">
        <f t="shared" ref="P48:P56" si="3">O48-N48</f>
        <v>0</v>
      </c>
      <c r="Q48" s="91"/>
      <c r="R48" s="6"/>
    </row>
    <row r="49" spans="2:18" ht="16" thickTop="1" thickBot="1">
      <c r="B49" s="13"/>
      <c r="C49" s="24" t="s">
        <v>10</v>
      </c>
      <c r="D49" s="35">
        <v>942591.69</v>
      </c>
      <c r="E49" s="78">
        <v>0</v>
      </c>
      <c r="F49" s="79">
        <f t="shared" si="0"/>
        <v>942591.69</v>
      </c>
      <c r="G49" s="80">
        <v>895</v>
      </c>
      <c r="H49" s="36"/>
      <c r="I49" s="37">
        <f t="shared" si="1"/>
        <v>895</v>
      </c>
      <c r="J49" s="65">
        <v>2.0899999999999998E-2</v>
      </c>
      <c r="K49" s="55">
        <v>0.1</v>
      </c>
      <c r="L49" s="65">
        <v>2.0899999999999998E-2</v>
      </c>
      <c r="M49" s="55">
        <v>0.1</v>
      </c>
      <c r="N49" s="81">
        <f t="shared" si="2"/>
        <v>19789.666320999997</v>
      </c>
      <c r="O49" s="55">
        <f t="shared" ref="O49:O54" si="4">(D49*J49)+(E49*L49)+(G49*K49)+(H49*M49)</f>
        <v>19789.666320999997</v>
      </c>
      <c r="P49" s="38">
        <f t="shared" si="3"/>
        <v>0</v>
      </c>
      <c r="Q49" s="91"/>
      <c r="R49" s="6"/>
    </row>
    <row r="50" spans="2:18" ht="16" thickTop="1" thickBot="1">
      <c r="B50" s="13"/>
      <c r="C50" s="24" t="s">
        <v>11</v>
      </c>
      <c r="D50" s="35">
        <v>198745.52</v>
      </c>
      <c r="E50" s="78">
        <v>0</v>
      </c>
      <c r="F50" s="79">
        <f t="shared" si="0"/>
        <v>198745.52</v>
      </c>
      <c r="G50" s="80">
        <v>195</v>
      </c>
      <c r="H50" s="36"/>
      <c r="I50" s="37">
        <f t="shared" si="1"/>
        <v>195</v>
      </c>
      <c r="J50" s="65">
        <v>2.0899999999999998E-2</v>
      </c>
      <c r="K50" s="55">
        <v>0.1</v>
      </c>
      <c r="L50" s="65">
        <v>2.0899999999999998E-2</v>
      </c>
      <c r="M50" s="55">
        <v>0.1</v>
      </c>
      <c r="N50" s="81">
        <f t="shared" si="2"/>
        <v>4173.281367999999</v>
      </c>
      <c r="O50" s="55">
        <f t="shared" si="4"/>
        <v>4173.281367999999</v>
      </c>
      <c r="P50" s="38">
        <f t="shared" si="3"/>
        <v>0</v>
      </c>
      <c r="Q50" s="91"/>
      <c r="R50" s="6"/>
    </row>
    <row r="51" spans="2:18" ht="16" thickTop="1" thickBot="1">
      <c r="B51" s="13"/>
      <c r="C51" s="24" t="s">
        <v>12</v>
      </c>
      <c r="D51" s="35">
        <v>0</v>
      </c>
      <c r="E51" s="35">
        <v>0</v>
      </c>
      <c r="F51" s="79">
        <f t="shared" si="0"/>
        <v>0</v>
      </c>
      <c r="G51" s="36"/>
      <c r="H51" s="36"/>
      <c r="I51" s="37">
        <f t="shared" si="1"/>
        <v>0</v>
      </c>
      <c r="J51" s="39"/>
      <c r="K51" s="40"/>
      <c r="L51" s="39"/>
      <c r="M51" s="40"/>
      <c r="N51" s="81">
        <f t="shared" si="2"/>
        <v>0</v>
      </c>
      <c r="O51" s="55">
        <f t="shared" si="4"/>
        <v>0</v>
      </c>
      <c r="P51" s="38">
        <f t="shared" si="3"/>
        <v>0</v>
      </c>
      <c r="Q51" s="91"/>
      <c r="R51" s="6"/>
    </row>
    <row r="52" spans="2:18" ht="16" thickTop="1" thickBot="1">
      <c r="B52" s="13"/>
      <c r="C52" s="24" t="s">
        <v>13</v>
      </c>
      <c r="D52" s="35">
        <v>0</v>
      </c>
      <c r="E52" s="78">
        <v>0</v>
      </c>
      <c r="F52" s="79">
        <f t="shared" si="0"/>
        <v>0</v>
      </c>
      <c r="G52" s="80"/>
      <c r="H52" s="36"/>
      <c r="I52" s="37">
        <f t="shared" si="1"/>
        <v>0</v>
      </c>
      <c r="J52" s="39"/>
      <c r="K52" s="41"/>
      <c r="L52" s="39"/>
      <c r="M52" s="41"/>
      <c r="N52" s="81">
        <f t="shared" si="2"/>
        <v>0</v>
      </c>
      <c r="O52" s="55">
        <f t="shared" si="4"/>
        <v>0</v>
      </c>
      <c r="P52" s="38">
        <f t="shared" si="3"/>
        <v>0</v>
      </c>
      <c r="Q52" s="91"/>
      <c r="R52" s="6"/>
    </row>
    <row r="53" spans="2:18" ht="16" thickTop="1" thickBot="1">
      <c r="B53" s="13"/>
      <c r="C53" s="24" t="s">
        <v>14</v>
      </c>
      <c r="D53" s="35">
        <v>302.39999999999998</v>
      </c>
      <c r="E53" s="35">
        <v>0</v>
      </c>
      <c r="F53" s="79">
        <f t="shared" si="0"/>
        <v>302.39999999999998</v>
      </c>
      <c r="G53" s="36">
        <v>1</v>
      </c>
      <c r="H53" s="36"/>
      <c r="I53" s="37">
        <f t="shared" si="1"/>
        <v>1</v>
      </c>
      <c r="J53" s="39">
        <v>5.8999999999999999E-3</v>
      </c>
      <c r="K53" s="40"/>
      <c r="L53" s="39">
        <v>5.8999999999999999E-3</v>
      </c>
      <c r="M53" s="40"/>
      <c r="N53" s="81">
        <f t="shared" si="2"/>
        <v>1.7841599999999997</v>
      </c>
      <c r="O53" s="55">
        <f t="shared" si="4"/>
        <v>1.7841599999999997</v>
      </c>
      <c r="P53" s="38">
        <f t="shared" si="3"/>
        <v>0</v>
      </c>
      <c r="Q53" s="91"/>
      <c r="R53" s="6"/>
    </row>
    <row r="54" spans="2:18" ht="16" thickTop="1" thickBot="1">
      <c r="B54" s="4"/>
      <c r="C54" s="24" t="s">
        <v>15</v>
      </c>
      <c r="D54" s="35">
        <v>0</v>
      </c>
      <c r="E54" s="78">
        <v>0</v>
      </c>
      <c r="F54" s="79">
        <f t="shared" si="0"/>
        <v>0</v>
      </c>
      <c r="G54" s="80"/>
      <c r="H54" s="36"/>
      <c r="I54" s="37">
        <f t="shared" si="1"/>
        <v>0</v>
      </c>
      <c r="J54" s="65"/>
      <c r="K54" s="40"/>
      <c r="L54" s="82"/>
      <c r="M54" s="40"/>
      <c r="N54" s="81">
        <f t="shared" si="2"/>
        <v>0</v>
      </c>
      <c r="O54" s="55">
        <f t="shared" si="4"/>
        <v>0</v>
      </c>
      <c r="P54" s="38">
        <f t="shared" si="3"/>
        <v>0</v>
      </c>
      <c r="Q54" s="91"/>
      <c r="R54" s="6"/>
    </row>
    <row r="55" spans="2:18" ht="16" thickTop="1" thickBot="1">
      <c r="B55" s="4"/>
      <c r="C55" s="24" t="s">
        <v>16</v>
      </c>
      <c r="D55" s="35">
        <v>0</v>
      </c>
      <c r="E55" s="35">
        <v>0</v>
      </c>
      <c r="F55" s="79">
        <f t="shared" si="0"/>
        <v>0</v>
      </c>
      <c r="G55" s="36"/>
      <c r="H55" s="36"/>
      <c r="I55" s="37">
        <f t="shared" si="1"/>
        <v>0</v>
      </c>
      <c r="J55" s="39"/>
      <c r="K55" s="40"/>
      <c r="L55" s="39"/>
      <c r="M55" s="40"/>
      <c r="N55" s="42">
        <v>0</v>
      </c>
      <c r="O55" s="41">
        <f>D55</f>
        <v>0</v>
      </c>
      <c r="P55" s="38">
        <f t="shared" si="3"/>
        <v>0</v>
      </c>
      <c r="Q55" s="91"/>
      <c r="R55" s="6"/>
    </row>
    <row r="56" spans="2:18" ht="16" thickTop="1" thickBot="1">
      <c r="B56" s="4"/>
      <c r="C56" s="24" t="s">
        <v>17</v>
      </c>
      <c r="D56" s="35">
        <v>0</v>
      </c>
      <c r="E56" s="35">
        <v>0</v>
      </c>
      <c r="F56" s="79">
        <f t="shared" si="0"/>
        <v>0</v>
      </c>
      <c r="G56" s="36"/>
      <c r="H56" s="36"/>
      <c r="I56" s="37">
        <f t="shared" si="1"/>
        <v>0</v>
      </c>
      <c r="J56" s="39"/>
      <c r="K56" s="41"/>
      <c r="L56" s="39"/>
      <c r="M56" s="41"/>
      <c r="N56" s="81">
        <f>+(D56*J56)+(E56*J56)+(G56*K56)+(H56*K56)</f>
        <v>0</v>
      </c>
      <c r="O56" s="55">
        <f>(D56*J56)+(E56*L56)+(G56*K56)+(H56*M56)</f>
        <v>0</v>
      </c>
      <c r="P56" s="38">
        <f t="shared" si="3"/>
        <v>0</v>
      </c>
      <c r="Q56" s="91"/>
      <c r="R56" s="6"/>
    </row>
    <row r="57" spans="2:18" ht="16" thickTop="1" thickBot="1">
      <c r="B57" s="4"/>
      <c r="C57" s="43" t="s">
        <v>152</v>
      </c>
      <c r="D57" s="44">
        <f>SUM(D48:D55)</f>
        <v>2989138.2199999997</v>
      </c>
      <c r="E57" s="44">
        <f>SUM(E48:E55)</f>
        <v>0</v>
      </c>
      <c r="F57" s="44">
        <f t="shared" si="0"/>
        <v>2989138.2199999997</v>
      </c>
      <c r="G57" s="45">
        <f>SUM(G48:G55)</f>
        <v>2842</v>
      </c>
      <c r="H57" s="45">
        <f>SUM(H48:H55)</f>
        <v>0</v>
      </c>
      <c r="I57" s="46">
        <f t="shared" si="1"/>
        <v>2842</v>
      </c>
      <c r="J57" s="47"/>
      <c r="K57" s="48"/>
      <c r="L57" s="47"/>
      <c r="M57" s="48"/>
      <c r="N57" s="83">
        <f>SUM(N48:N56)</f>
        <v>62752.552797999997</v>
      </c>
      <c r="O57" s="48">
        <f>SUM(O48:O56)</f>
        <v>62752.552797999997</v>
      </c>
      <c r="P57" s="48">
        <f>SUM(P48:P55)</f>
        <v>0</v>
      </c>
      <c r="Q57" s="91"/>
      <c r="R57" s="6"/>
    </row>
    <row r="58" spans="2:18" ht="16" thickTop="1" thickBot="1">
      <c r="B58" s="4"/>
      <c r="C58" s="84" t="s">
        <v>21</v>
      </c>
      <c r="D58" s="49"/>
      <c r="E58" s="49"/>
      <c r="F58" s="49"/>
      <c r="G58" s="85"/>
      <c r="H58" s="85"/>
      <c r="I58" s="86"/>
      <c r="J58" s="85"/>
      <c r="K58" s="85"/>
      <c r="L58" s="85"/>
      <c r="M58" s="85"/>
      <c r="N58" s="87"/>
      <c r="O58" s="85"/>
      <c r="P58" s="49">
        <f>P57</f>
        <v>0</v>
      </c>
      <c r="Q58" s="91"/>
      <c r="R58" s="6"/>
    </row>
    <row r="59" spans="2:18" ht="16" thickTop="1" thickBot="1">
      <c r="B59" s="4"/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6"/>
    </row>
    <row r="60" spans="2:18" ht="16" thickTop="1" thickBot="1">
      <c r="B60" s="4"/>
      <c r="C60" s="99" t="s">
        <v>153</v>
      </c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1"/>
      <c r="R60" s="6"/>
    </row>
    <row r="61" spans="2:18" ht="16" thickTop="1" thickBot="1">
      <c r="B61" s="4"/>
      <c r="C61" s="72" t="s">
        <v>8</v>
      </c>
      <c r="D61" s="21" t="s">
        <v>140</v>
      </c>
      <c r="E61" s="21" t="s">
        <v>141</v>
      </c>
      <c r="F61" s="21" t="s">
        <v>142</v>
      </c>
      <c r="G61" s="21" t="s">
        <v>143</v>
      </c>
      <c r="H61" s="21" t="s">
        <v>144</v>
      </c>
      <c r="I61" s="21" t="s">
        <v>145</v>
      </c>
      <c r="J61" s="21" t="s">
        <v>146</v>
      </c>
      <c r="K61" s="73" t="s">
        <v>147</v>
      </c>
      <c r="L61" s="21" t="s">
        <v>148</v>
      </c>
      <c r="M61" s="21" t="s">
        <v>149</v>
      </c>
      <c r="N61" s="75" t="s">
        <v>150</v>
      </c>
      <c r="O61" s="76" t="s">
        <v>151</v>
      </c>
      <c r="P61" s="77" t="s">
        <v>19</v>
      </c>
      <c r="Q61" s="91"/>
      <c r="R61" s="6"/>
    </row>
    <row r="62" spans="2:18" ht="16" thickTop="1" thickBot="1">
      <c r="B62" s="4"/>
      <c r="C62" s="24" t="s">
        <v>1</v>
      </c>
      <c r="D62" s="35">
        <v>1901268.53</v>
      </c>
      <c r="E62" s="78">
        <v>0</v>
      </c>
      <c r="F62" s="79">
        <f t="shared" ref="F62:F71" si="5">SUM(D62:E62)</f>
        <v>1901268.53</v>
      </c>
      <c r="G62" s="50">
        <v>1703</v>
      </c>
      <c r="H62" s="36"/>
      <c r="I62" s="36">
        <f t="shared" ref="I62:I71" si="6">+SUM(G62:H62)</f>
        <v>1703</v>
      </c>
      <c r="J62" s="65">
        <v>2.0899999999999998E-2</v>
      </c>
      <c r="K62" s="88">
        <v>0.1</v>
      </c>
      <c r="L62" s="65">
        <v>2.0899999999999998E-2</v>
      </c>
      <c r="M62" s="41">
        <v>0.1</v>
      </c>
      <c r="N62" s="81">
        <f t="shared" ref="N62:N68" si="7">+(D62*J62)+(E62*J62)+(G62*K62)+(H62*K62)</f>
        <v>39906.812276999997</v>
      </c>
      <c r="O62" s="55">
        <f>+(D62*J62)+(L62*E62)+(G62*K62)+(H62*M62)</f>
        <v>39906.812276999997</v>
      </c>
      <c r="P62" s="38">
        <f t="shared" ref="P62:P70" si="8">O62-N62</f>
        <v>0</v>
      </c>
      <c r="Q62" s="91"/>
      <c r="R62" s="6"/>
    </row>
    <row r="63" spans="2:18" ht="16" thickTop="1" thickBot="1">
      <c r="B63" s="4"/>
      <c r="C63" s="24" t="s">
        <v>10</v>
      </c>
      <c r="D63" s="35">
        <v>1196328.1100000001</v>
      </c>
      <c r="E63" s="78">
        <v>0</v>
      </c>
      <c r="F63" s="79">
        <f t="shared" si="5"/>
        <v>1196328.1100000001</v>
      </c>
      <c r="G63" s="50">
        <v>1080</v>
      </c>
      <c r="H63" s="36"/>
      <c r="I63" s="36">
        <f t="shared" si="6"/>
        <v>1080</v>
      </c>
      <c r="J63" s="65">
        <v>2.0899999999999998E-2</v>
      </c>
      <c r="K63" s="88">
        <v>0.1</v>
      </c>
      <c r="L63" s="65">
        <v>2.0899999999999998E-2</v>
      </c>
      <c r="M63" s="41">
        <v>0.1</v>
      </c>
      <c r="N63" s="81">
        <f t="shared" si="7"/>
        <v>25111.257498999999</v>
      </c>
      <c r="O63" s="55">
        <f t="shared" ref="O63:O68" si="9">(D63*J63)+(E63*L63)+(G63*K63)+(H63*M63)</f>
        <v>25111.257498999999</v>
      </c>
      <c r="P63" s="38">
        <f t="shared" si="8"/>
        <v>0</v>
      </c>
      <c r="Q63" s="91"/>
      <c r="R63" s="6"/>
    </row>
    <row r="64" spans="2:18" ht="16" thickTop="1" thickBot="1">
      <c r="B64" s="4"/>
      <c r="C64" s="24" t="s">
        <v>11</v>
      </c>
      <c r="D64" s="35">
        <v>256267.01</v>
      </c>
      <c r="E64" s="78">
        <v>0</v>
      </c>
      <c r="F64" s="79">
        <f t="shared" si="5"/>
        <v>256267.01</v>
      </c>
      <c r="G64" s="50">
        <v>280</v>
      </c>
      <c r="H64" s="36"/>
      <c r="I64" s="36">
        <f t="shared" si="6"/>
        <v>280</v>
      </c>
      <c r="J64" s="65">
        <v>2.0899999999999998E-2</v>
      </c>
      <c r="K64" s="88">
        <v>0.1</v>
      </c>
      <c r="L64" s="65">
        <v>2.0899999999999998E-2</v>
      </c>
      <c r="M64" s="41">
        <v>0.1</v>
      </c>
      <c r="N64" s="81">
        <f t="shared" si="7"/>
        <v>5383.980509</v>
      </c>
      <c r="O64" s="55">
        <f t="shared" si="9"/>
        <v>5383.980509</v>
      </c>
      <c r="P64" s="38">
        <f t="shared" si="8"/>
        <v>0</v>
      </c>
      <c r="Q64" s="91"/>
      <c r="R64" s="6"/>
    </row>
    <row r="65" spans="2:18" ht="16" thickTop="1" thickBot="1">
      <c r="B65" s="4"/>
      <c r="C65" s="24" t="s">
        <v>12</v>
      </c>
      <c r="D65" s="35">
        <v>0</v>
      </c>
      <c r="E65" s="35">
        <v>0</v>
      </c>
      <c r="F65" s="79">
        <f t="shared" si="5"/>
        <v>0</v>
      </c>
      <c r="G65" s="50"/>
      <c r="H65" s="36"/>
      <c r="I65" s="36">
        <f t="shared" si="6"/>
        <v>0</v>
      </c>
      <c r="J65" s="39"/>
      <c r="K65" s="51"/>
      <c r="L65" s="39"/>
      <c r="M65" s="41"/>
      <c r="N65" s="81">
        <f t="shared" si="7"/>
        <v>0</v>
      </c>
      <c r="O65" s="55">
        <f t="shared" si="9"/>
        <v>0</v>
      </c>
      <c r="P65" s="38">
        <f t="shared" si="8"/>
        <v>0</v>
      </c>
      <c r="Q65" s="91"/>
      <c r="R65" s="6"/>
    </row>
    <row r="66" spans="2:18" ht="16" thickTop="1" thickBot="1">
      <c r="B66" s="4"/>
      <c r="C66" s="24" t="s">
        <v>13</v>
      </c>
      <c r="D66" s="35">
        <v>0</v>
      </c>
      <c r="E66" s="78">
        <v>0</v>
      </c>
      <c r="F66" s="79">
        <f t="shared" si="5"/>
        <v>0</v>
      </c>
      <c r="G66" s="50"/>
      <c r="H66" s="36"/>
      <c r="I66" s="36">
        <f t="shared" si="6"/>
        <v>0</v>
      </c>
      <c r="J66" s="39"/>
      <c r="K66" s="52"/>
      <c r="L66" s="39"/>
      <c r="M66" s="41"/>
      <c r="N66" s="81">
        <f t="shared" si="7"/>
        <v>0</v>
      </c>
      <c r="O66" s="55">
        <f t="shared" si="9"/>
        <v>0</v>
      </c>
      <c r="P66" s="38">
        <f t="shared" si="8"/>
        <v>0</v>
      </c>
      <c r="Q66" s="91"/>
      <c r="R66" s="6"/>
    </row>
    <row r="67" spans="2:18" ht="16" thickTop="1" thickBot="1">
      <c r="B67" s="4"/>
      <c r="C67" s="24" t="s">
        <v>14</v>
      </c>
      <c r="D67" s="35"/>
      <c r="E67" s="35"/>
      <c r="F67" s="79">
        <f t="shared" si="5"/>
        <v>0</v>
      </c>
      <c r="G67" s="50"/>
      <c r="H67" s="36"/>
      <c r="I67" s="36">
        <f t="shared" si="6"/>
        <v>0</v>
      </c>
      <c r="J67" s="39"/>
      <c r="K67" s="51"/>
      <c r="L67" s="39"/>
      <c r="M67" s="41"/>
      <c r="N67" s="81">
        <f t="shared" si="7"/>
        <v>0</v>
      </c>
      <c r="O67" s="55">
        <f t="shared" si="9"/>
        <v>0</v>
      </c>
      <c r="P67" s="38">
        <f t="shared" si="8"/>
        <v>0</v>
      </c>
      <c r="Q67" s="91"/>
      <c r="R67" s="6"/>
    </row>
    <row r="68" spans="2:18" ht="16" thickTop="1" thickBot="1">
      <c r="B68" s="4"/>
      <c r="C68" s="24" t="s">
        <v>15</v>
      </c>
      <c r="D68" s="35">
        <v>11853.56</v>
      </c>
      <c r="E68" s="78">
        <v>338955.61</v>
      </c>
      <c r="F68" s="79">
        <f t="shared" si="5"/>
        <v>350809.17</v>
      </c>
      <c r="G68" s="50">
        <v>19</v>
      </c>
      <c r="H68" s="89">
        <v>408</v>
      </c>
      <c r="I68" s="36">
        <f t="shared" si="6"/>
        <v>427</v>
      </c>
      <c r="J68" s="82">
        <v>5.8999999999999999E-3</v>
      </c>
      <c r="K68" s="51">
        <v>0.1</v>
      </c>
      <c r="L68" s="82">
        <v>5.8999999999999999E-3</v>
      </c>
      <c r="M68" s="41"/>
      <c r="N68" s="81">
        <f t="shared" si="7"/>
        <v>2112.474103</v>
      </c>
      <c r="O68" s="55">
        <f t="shared" si="9"/>
        <v>2071.6741029999998</v>
      </c>
      <c r="P68" s="38">
        <f t="shared" si="8"/>
        <v>-40.800000000000182</v>
      </c>
      <c r="Q68" s="91"/>
      <c r="R68" s="6"/>
    </row>
    <row r="69" spans="2:18" ht="16" thickTop="1" thickBot="1">
      <c r="B69" s="4"/>
      <c r="C69" s="24" t="s">
        <v>16</v>
      </c>
      <c r="D69" s="35">
        <v>0</v>
      </c>
      <c r="E69" s="35">
        <v>0</v>
      </c>
      <c r="F69" s="79">
        <f t="shared" si="5"/>
        <v>0</v>
      </c>
      <c r="G69" s="50"/>
      <c r="H69" s="36"/>
      <c r="I69" s="36">
        <f t="shared" si="6"/>
        <v>0</v>
      </c>
      <c r="J69" s="39"/>
      <c r="K69" s="51"/>
      <c r="L69" s="39"/>
      <c r="M69" s="41"/>
      <c r="N69" s="42">
        <f>D69</f>
        <v>0</v>
      </c>
      <c r="O69" s="41">
        <f>N69</f>
        <v>0</v>
      </c>
      <c r="P69" s="38">
        <f t="shared" si="8"/>
        <v>0</v>
      </c>
      <c r="Q69" s="91"/>
      <c r="R69" s="6"/>
    </row>
    <row r="70" spans="2:18" ht="16" thickTop="1" thickBot="1">
      <c r="B70" s="4"/>
      <c r="C70" s="24" t="s">
        <v>17</v>
      </c>
      <c r="D70" s="35">
        <v>0</v>
      </c>
      <c r="E70" s="35">
        <v>0</v>
      </c>
      <c r="F70" s="79">
        <f t="shared" si="5"/>
        <v>0</v>
      </c>
      <c r="G70" s="50"/>
      <c r="H70" s="36"/>
      <c r="I70" s="36">
        <f t="shared" si="6"/>
        <v>0</v>
      </c>
      <c r="J70" s="39"/>
      <c r="K70" s="52"/>
      <c r="L70" s="39"/>
      <c r="M70" s="41"/>
      <c r="N70" s="81">
        <f>+(D70*J70)+(E70*J70)+(G70*K70)+(H70*K70)</f>
        <v>0</v>
      </c>
      <c r="O70" s="55">
        <f>(D70*J70)+(E70*L70)+(G70*K70)+(H70*M70)</f>
        <v>0</v>
      </c>
      <c r="P70" s="38">
        <f t="shared" si="8"/>
        <v>0</v>
      </c>
      <c r="Q70" s="91"/>
      <c r="R70" s="6"/>
    </row>
    <row r="71" spans="2:18" ht="16" thickTop="1" thickBot="1">
      <c r="B71" s="4"/>
      <c r="C71" s="43" t="s">
        <v>152</v>
      </c>
      <c r="D71" s="44">
        <f>SUM(D62:D69)</f>
        <v>3365717.2100000004</v>
      </c>
      <c r="E71" s="44">
        <f>SUM(E62:E69)</f>
        <v>338955.61</v>
      </c>
      <c r="F71" s="44">
        <f t="shared" si="5"/>
        <v>3704672.8200000003</v>
      </c>
      <c r="G71" s="45">
        <f>SUM(G62:G69)</f>
        <v>3082</v>
      </c>
      <c r="H71" s="45">
        <f>SUM(H62:H69)</f>
        <v>408</v>
      </c>
      <c r="I71" s="45">
        <f t="shared" si="6"/>
        <v>3490</v>
      </c>
      <c r="J71" s="47"/>
      <c r="K71" s="53"/>
      <c r="L71" s="47"/>
      <c r="M71" s="48"/>
      <c r="N71" s="83">
        <f>SUM(N62:N70)</f>
        <v>72514.524387999991</v>
      </c>
      <c r="O71" s="48">
        <f>SUM(O62:O70)</f>
        <v>72473.724387999988</v>
      </c>
      <c r="P71" s="48">
        <f>SUM(P62:P69)</f>
        <v>-40.800000000000182</v>
      </c>
      <c r="Q71" s="91"/>
      <c r="R71" s="6"/>
    </row>
    <row r="72" spans="2:18" ht="16" thickTop="1" thickBot="1">
      <c r="B72" s="4"/>
      <c r="C72" s="84" t="s">
        <v>21</v>
      </c>
      <c r="D72" s="49"/>
      <c r="E72" s="49"/>
      <c r="F72" s="49"/>
      <c r="G72" s="85"/>
      <c r="H72" s="85"/>
      <c r="I72" s="85"/>
      <c r="J72" s="85"/>
      <c r="K72" s="86"/>
      <c r="L72" s="85"/>
      <c r="M72" s="85"/>
      <c r="N72" s="87"/>
      <c r="O72" s="85"/>
      <c r="P72" s="49">
        <f>P71</f>
        <v>-40.800000000000182</v>
      </c>
      <c r="Q72" s="91"/>
      <c r="R72" s="6"/>
    </row>
    <row r="73" spans="2:18" ht="16" thickTop="1" thickBot="1">
      <c r="B73" s="4"/>
      <c r="C73" s="91"/>
      <c r="D73" s="91"/>
      <c r="E73" s="91"/>
      <c r="F73" s="91"/>
      <c r="G73" s="91"/>
      <c r="H73" s="91"/>
      <c r="I73" s="91"/>
      <c r="J73" s="91"/>
      <c r="K73" s="91"/>
      <c r="L73" s="90"/>
      <c r="M73" s="90"/>
      <c r="N73" s="91"/>
      <c r="O73" s="91"/>
      <c r="P73" s="91"/>
      <c r="Q73" s="91"/>
      <c r="R73" s="6"/>
    </row>
    <row r="74" spans="2:18" ht="16" thickTop="1" thickBot="1">
      <c r="B74" s="4"/>
      <c r="C74" s="99" t="s">
        <v>154</v>
      </c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1"/>
      <c r="R74" s="6"/>
    </row>
    <row r="75" spans="2:18" ht="16" thickTop="1" thickBot="1">
      <c r="B75" s="4"/>
      <c r="C75" s="72" t="s">
        <v>8</v>
      </c>
      <c r="D75" s="21" t="s">
        <v>140</v>
      </c>
      <c r="E75" s="21" t="s">
        <v>141</v>
      </c>
      <c r="F75" s="21" t="s">
        <v>142</v>
      </c>
      <c r="G75" s="21" t="s">
        <v>143</v>
      </c>
      <c r="H75" s="21" t="s">
        <v>144</v>
      </c>
      <c r="I75" s="21" t="s">
        <v>145</v>
      </c>
      <c r="J75" s="21" t="s">
        <v>146</v>
      </c>
      <c r="K75" s="21" t="s">
        <v>147</v>
      </c>
      <c r="L75" s="21" t="s">
        <v>148</v>
      </c>
      <c r="M75" s="21" t="s">
        <v>149</v>
      </c>
      <c r="N75" s="75" t="s">
        <v>150</v>
      </c>
      <c r="O75" s="76" t="s">
        <v>151</v>
      </c>
      <c r="P75" s="77" t="s">
        <v>20</v>
      </c>
      <c r="Q75" s="91"/>
      <c r="R75" s="6"/>
    </row>
    <row r="76" spans="2:18" ht="16" thickTop="1" thickBot="1">
      <c r="B76" s="4"/>
      <c r="C76" s="24" t="s">
        <v>1</v>
      </c>
      <c r="D76" s="35">
        <v>1816720.23</v>
      </c>
      <c r="E76" s="78">
        <v>0</v>
      </c>
      <c r="F76" s="79">
        <f t="shared" ref="F76:F85" si="10">SUM(D76:E76)</f>
        <v>1816720.23</v>
      </c>
      <c r="G76" s="80">
        <v>1656</v>
      </c>
      <c r="H76" s="36"/>
      <c r="I76" s="36">
        <f t="shared" ref="I76:I85" si="11">+SUM(G76:H76)</f>
        <v>1656</v>
      </c>
      <c r="J76" s="65">
        <v>2.0899999999999998E-2</v>
      </c>
      <c r="K76" s="88">
        <v>0.1</v>
      </c>
      <c r="L76" s="65">
        <v>2.0899999999999998E-2</v>
      </c>
      <c r="M76" s="41">
        <v>0.1</v>
      </c>
      <c r="N76" s="81">
        <f t="shared" ref="N76:N82" si="12">+(D76*J76)+(E76*J76)+(G76*K76)+(H76*K76)</f>
        <v>38135.052806999993</v>
      </c>
      <c r="O76" s="55">
        <f>+(D76*J76)+(L76*E76)+(G76*K76)+(H76*M76)</f>
        <v>38135.052806999993</v>
      </c>
      <c r="P76" s="38">
        <f t="shared" ref="P76:P84" si="13">O76-N76</f>
        <v>0</v>
      </c>
      <c r="Q76" s="91"/>
      <c r="R76" s="6"/>
    </row>
    <row r="77" spans="2:18" ht="16" thickTop="1" thickBot="1">
      <c r="B77" s="4"/>
      <c r="C77" s="24" t="s">
        <v>10</v>
      </c>
      <c r="D77" s="35">
        <v>1007544.13</v>
      </c>
      <c r="E77" s="78">
        <v>0</v>
      </c>
      <c r="F77" s="79">
        <f t="shared" si="10"/>
        <v>1007544.13</v>
      </c>
      <c r="G77" s="80">
        <v>914</v>
      </c>
      <c r="H77" s="36"/>
      <c r="I77" s="36">
        <f t="shared" si="11"/>
        <v>914</v>
      </c>
      <c r="J77" s="65">
        <v>2.0899999999999998E-2</v>
      </c>
      <c r="K77" s="88">
        <v>0.1</v>
      </c>
      <c r="L77" s="65">
        <v>2.0899999999999998E-2</v>
      </c>
      <c r="M77" s="41">
        <v>0.1</v>
      </c>
      <c r="N77" s="81">
        <f t="shared" si="12"/>
        <v>21149.072316999998</v>
      </c>
      <c r="O77" s="55">
        <f t="shared" ref="O77:O82" si="14">(D77*J77)+(E77*L77)+(G77*K77)+(H77*M77)</f>
        <v>21149.072316999998</v>
      </c>
      <c r="P77" s="38">
        <f t="shared" si="13"/>
        <v>0</v>
      </c>
      <c r="Q77" s="91"/>
      <c r="R77" s="6"/>
    </row>
    <row r="78" spans="2:18" ht="16" thickTop="1" thickBot="1">
      <c r="B78" s="4"/>
      <c r="C78" s="24" t="s">
        <v>11</v>
      </c>
      <c r="D78" s="35">
        <v>240803.47</v>
      </c>
      <c r="E78" s="78">
        <v>0</v>
      </c>
      <c r="F78" s="79">
        <f t="shared" si="10"/>
        <v>240803.47</v>
      </c>
      <c r="G78" s="80">
        <v>236</v>
      </c>
      <c r="H78" s="36"/>
      <c r="I78" s="36">
        <f t="shared" si="11"/>
        <v>236</v>
      </c>
      <c r="J78" s="65">
        <v>2.0899999999999998E-2</v>
      </c>
      <c r="K78" s="88">
        <v>0.1</v>
      </c>
      <c r="L78" s="65">
        <v>2.0899999999999998E-2</v>
      </c>
      <c r="M78" s="41">
        <v>0.1</v>
      </c>
      <c r="N78" s="81">
        <f t="shared" si="12"/>
        <v>5056.3925230000004</v>
      </c>
      <c r="O78" s="55">
        <f t="shared" si="14"/>
        <v>5056.3925230000004</v>
      </c>
      <c r="P78" s="38">
        <f t="shared" si="13"/>
        <v>0</v>
      </c>
      <c r="Q78" s="91"/>
      <c r="R78" s="6"/>
    </row>
    <row r="79" spans="2:18" ht="16" thickTop="1" thickBot="1">
      <c r="B79" s="4"/>
      <c r="C79" s="24" t="s">
        <v>12</v>
      </c>
      <c r="D79" s="35">
        <v>0</v>
      </c>
      <c r="E79" s="35">
        <v>0</v>
      </c>
      <c r="F79" s="79">
        <f t="shared" si="10"/>
        <v>0</v>
      </c>
      <c r="G79" s="50"/>
      <c r="H79" s="36"/>
      <c r="I79" s="36">
        <f t="shared" si="11"/>
        <v>0</v>
      </c>
      <c r="J79" s="39"/>
      <c r="K79" s="51"/>
      <c r="L79" s="39"/>
      <c r="M79" s="41"/>
      <c r="N79" s="81">
        <f t="shared" si="12"/>
        <v>0</v>
      </c>
      <c r="O79" s="55">
        <f t="shared" si="14"/>
        <v>0</v>
      </c>
      <c r="P79" s="38">
        <f t="shared" si="13"/>
        <v>0</v>
      </c>
      <c r="Q79" s="91"/>
      <c r="R79" s="6"/>
    </row>
    <row r="80" spans="2:18" ht="16" thickTop="1" thickBot="1">
      <c r="B80" s="4"/>
      <c r="C80" s="24" t="s">
        <v>13</v>
      </c>
      <c r="D80" s="35">
        <v>0</v>
      </c>
      <c r="E80" s="78">
        <v>0</v>
      </c>
      <c r="F80" s="79">
        <f t="shared" si="10"/>
        <v>0</v>
      </c>
      <c r="G80" s="80"/>
      <c r="H80" s="36"/>
      <c r="I80" s="36">
        <f t="shared" si="11"/>
        <v>0</v>
      </c>
      <c r="J80" s="39"/>
      <c r="K80" s="52"/>
      <c r="L80" s="39"/>
      <c r="M80" s="41"/>
      <c r="N80" s="81">
        <f t="shared" si="12"/>
        <v>0</v>
      </c>
      <c r="O80" s="55">
        <f t="shared" si="14"/>
        <v>0</v>
      </c>
      <c r="P80" s="38">
        <f t="shared" si="13"/>
        <v>0</v>
      </c>
      <c r="Q80" s="91"/>
      <c r="R80" s="6"/>
    </row>
    <row r="81" spans="2:18" ht="16" thickTop="1" thickBot="1">
      <c r="B81" s="4"/>
      <c r="C81" s="24" t="s">
        <v>14</v>
      </c>
      <c r="D81" s="35">
        <v>0</v>
      </c>
      <c r="E81" s="35">
        <v>0</v>
      </c>
      <c r="F81" s="79">
        <f t="shared" si="10"/>
        <v>0</v>
      </c>
      <c r="G81" s="50"/>
      <c r="H81" s="36"/>
      <c r="I81" s="36">
        <f t="shared" si="11"/>
        <v>0</v>
      </c>
      <c r="J81" s="39"/>
      <c r="K81" s="51"/>
      <c r="L81" s="39"/>
      <c r="M81" s="41"/>
      <c r="N81" s="81">
        <f t="shared" si="12"/>
        <v>0</v>
      </c>
      <c r="O81" s="55">
        <f t="shared" si="14"/>
        <v>0</v>
      </c>
      <c r="P81" s="38">
        <f t="shared" si="13"/>
        <v>0</v>
      </c>
      <c r="Q81" s="91"/>
      <c r="R81" s="6"/>
    </row>
    <row r="82" spans="2:18" ht="16" thickTop="1" thickBot="1">
      <c r="B82" s="4"/>
      <c r="C82" s="24" t="s">
        <v>15</v>
      </c>
      <c r="D82" s="35">
        <v>149174.73000000001</v>
      </c>
      <c r="E82" s="78">
        <v>235793.55</v>
      </c>
      <c r="F82" s="79">
        <f t="shared" si="10"/>
        <v>384968.28</v>
      </c>
      <c r="G82" s="80">
        <v>180</v>
      </c>
      <c r="H82" s="80">
        <v>278</v>
      </c>
      <c r="I82" s="36">
        <f t="shared" si="11"/>
        <v>458</v>
      </c>
      <c r="J82" s="82">
        <v>5.8999999999999999E-3</v>
      </c>
      <c r="K82" s="51">
        <v>0.1</v>
      </c>
      <c r="L82" s="82">
        <v>5.8999999999999999E-3</v>
      </c>
      <c r="M82" s="41"/>
      <c r="N82" s="81">
        <f t="shared" si="12"/>
        <v>2317.1128520000002</v>
      </c>
      <c r="O82" s="55">
        <f t="shared" si="14"/>
        <v>2289.312852</v>
      </c>
      <c r="P82" s="38">
        <f t="shared" si="13"/>
        <v>-27.800000000000182</v>
      </c>
      <c r="Q82" s="91"/>
      <c r="R82" s="6"/>
    </row>
    <row r="83" spans="2:18" ht="16" thickTop="1" thickBot="1">
      <c r="B83" s="4"/>
      <c r="C83" s="24" t="s">
        <v>16</v>
      </c>
      <c r="D83" s="35">
        <v>0</v>
      </c>
      <c r="E83" s="35">
        <v>0</v>
      </c>
      <c r="F83" s="79">
        <f t="shared" si="10"/>
        <v>0</v>
      </c>
      <c r="G83" s="36"/>
      <c r="H83" s="36"/>
      <c r="I83" s="36">
        <f t="shared" si="11"/>
        <v>0</v>
      </c>
      <c r="J83" s="39"/>
      <c r="K83" s="40"/>
      <c r="L83" s="39"/>
      <c r="M83" s="40"/>
      <c r="N83" s="42">
        <f>F83</f>
        <v>0</v>
      </c>
      <c r="O83" s="41">
        <f>N83</f>
        <v>0</v>
      </c>
      <c r="P83" s="38">
        <f t="shared" si="13"/>
        <v>0</v>
      </c>
      <c r="Q83" s="91"/>
      <c r="R83" s="6"/>
    </row>
    <row r="84" spans="2:18" ht="16" thickTop="1" thickBot="1">
      <c r="B84" s="4"/>
      <c r="C84" s="24" t="s">
        <v>17</v>
      </c>
      <c r="D84" s="35">
        <v>0</v>
      </c>
      <c r="E84" s="35">
        <v>0</v>
      </c>
      <c r="F84" s="79">
        <f t="shared" si="10"/>
        <v>0</v>
      </c>
      <c r="G84" s="36"/>
      <c r="H84" s="36"/>
      <c r="I84" s="36">
        <f t="shared" si="11"/>
        <v>0</v>
      </c>
      <c r="J84" s="39"/>
      <c r="K84" s="41"/>
      <c r="L84" s="39"/>
      <c r="M84" s="41"/>
      <c r="N84" s="81">
        <f>+(D84*J84)+(E84*J84)+(G84*K84)+(H84*K84)</f>
        <v>0</v>
      </c>
      <c r="O84" s="55">
        <f>(D84*J84)+(E84*L84)+(G84*K84)+(H84*M84)</f>
        <v>0</v>
      </c>
      <c r="P84" s="38">
        <f t="shared" si="13"/>
        <v>0</v>
      </c>
      <c r="Q84" s="91"/>
      <c r="R84" s="6"/>
    </row>
    <row r="85" spans="2:18" ht="16" thickTop="1" thickBot="1">
      <c r="B85" s="4"/>
      <c r="C85" s="43" t="s">
        <v>152</v>
      </c>
      <c r="D85" s="44">
        <f>SUM(D76:D84)</f>
        <v>3214242.56</v>
      </c>
      <c r="E85" s="44">
        <f>SUM(E76:E84)</f>
        <v>235793.55</v>
      </c>
      <c r="F85" s="44">
        <f t="shared" si="10"/>
        <v>3450036.11</v>
      </c>
      <c r="G85" s="45">
        <f>SUM(G76:G83)</f>
        <v>2986</v>
      </c>
      <c r="H85" s="45">
        <f>SUM(H76:H83)</f>
        <v>278</v>
      </c>
      <c r="I85" s="45">
        <f t="shared" si="11"/>
        <v>3264</v>
      </c>
      <c r="J85" s="47"/>
      <c r="K85" s="48"/>
      <c r="L85" s="47"/>
      <c r="M85" s="48"/>
      <c r="N85" s="83">
        <f>SUM(N76:N84)</f>
        <v>66657.630498999992</v>
      </c>
      <c r="O85" s="48">
        <f>SUM(O76:O84)</f>
        <v>66629.830498999989</v>
      </c>
      <c r="P85" s="48">
        <f>SUM(P76:P83)</f>
        <v>-27.800000000000182</v>
      </c>
      <c r="Q85" s="91"/>
      <c r="R85" s="6"/>
    </row>
    <row r="86" spans="2:18" ht="16" thickTop="1" thickBot="1">
      <c r="B86" s="4"/>
      <c r="C86" s="84" t="s">
        <v>21</v>
      </c>
      <c r="D86" s="49"/>
      <c r="E86" s="49"/>
      <c r="F86" s="49"/>
      <c r="G86" s="85"/>
      <c r="H86" s="85"/>
      <c r="I86" s="85"/>
      <c r="J86" s="85"/>
      <c r="K86" s="85"/>
      <c r="L86" s="85"/>
      <c r="M86" s="85"/>
      <c r="N86" s="87"/>
      <c r="O86" s="85"/>
      <c r="P86" s="49">
        <f>P85</f>
        <v>-27.800000000000182</v>
      </c>
      <c r="Q86" s="91"/>
      <c r="R86" s="6"/>
    </row>
    <row r="87" spans="2:18" ht="16" thickTop="1" thickBot="1">
      <c r="B87" s="7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9"/>
    </row>
  </sheetData>
  <mergeCells count="14">
    <mergeCell ref="C46:P46"/>
    <mergeCell ref="C60:P60"/>
    <mergeCell ref="C74:P74"/>
    <mergeCell ref="P28:Q28"/>
    <mergeCell ref="G30:Q33"/>
    <mergeCell ref="D36:E36"/>
    <mergeCell ref="D37:E37"/>
    <mergeCell ref="E38:Q38"/>
    <mergeCell ref="E12:L12"/>
    <mergeCell ref="C25:Q25"/>
    <mergeCell ref="D26:J26"/>
    <mergeCell ref="P26:Q26"/>
    <mergeCell ref="D27:J27"/>
    <mergeCell ref="P27:Q27"/>
  </mergeCells>
  <dataValidations count="2">
    <dataValidation type="list" allowBlank="1" showInputMessage="1" showErrorMessage="1" sqref="D37:E37">
      <formula1>$U$2:$U$10</formula1>
      <formula2>0</formula2>
    </dataValidation>
    <dataValidation type="list" allowBlank="1" showInputMessage="1" showErrorMessage="1" sqref="D36:E36">
      <formula1>$T$2:$T$11</formula1>
      <formula2>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Files">
                <anchor moveWithCells="1" sizeWithCells="1">
                  <from>
                    <xdr:col>3</xdr:col>
                    <xdr:colOff>596900</xdr:colOff>
                    <xdr:row>13</xdr:row>
                    <xdr:rowOff>12700</xdr:rowOff>
                  </from>
                  <to>
                    <xdr:col>5</xdr:col>
                    <xdr:colOff>215900</xdr:colOff>
                    <xdr:row>14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T518"/>
  <sheetViews>
    <sheetView tabSelected="1" zoomScale="70" zoomScaleNormal="70" zoomScalePageLayoutView="70" workbookViewId="0">
      <pane xSplit="2" ySplit="1" topLeftCell="AB2" activePane="bottomRight" state="frozen"/>
      <selection activeCell="C50" sqref="C50"/>
      <selection pane="topRight" activeCell="C50" sqref="C50"/>
      <selection pane="bottomLeft" activeCell="C50" sqref="C50"/>
      <selection pane="bottomRight" activeCell="B15" sqref="B15"/>
    </sheetView>
  </sheetViews>
  <sheetFormatPr baseColWidth="10" defaultColWidth="8.83203125" defaultRowHeight="14" x14ac:dyDescent="0"/>
  <cols>
    <col min="1" max="1" width="11.83203125" bestFit="1" customWidth="1"/>
    <col min="2" max="2" width="31.83203125" bestFit="1" customWidth="1"/>
    <col min="3" max="3" width="28.5" bestFit="1" customWidth="1"/>
    <col min="4" max="4" width="19.1640625" style="15" bestFit="1" customWidth="1"/>
    <col min="5" max="5" width="30.83203125" style="14" bestFit="1" customWidth="1"/>
    <col min="6" max="6" width="17" style="15" bestFit="1" customWidth="1"/>
    <col min="7" max="7" width="30.83203125" style="14" bestFit="1" customWidth="1"/>
    <col min="8" max="8" width="19.5" style="15" bestFit="1" customWidth="1"/>
    <col min="9" max="9" width="25.1640625" style="14" bestFit="1" customWidth="1"/>
    <col min="10" max="10" width="17.33203125" style="15" bestFit="1" customWidth="1"/>
    <col min="11" max="11" width="30.83203125" style="14" bestFit="1" customWidth="1"/>
    <col min="12" max="12" width="27.6640625" style="14" bestFit="1" customWidth="1"/>
    <col min="13" max="13" width="26" style="14" bestFit="1" customWidth="1"/>
    <col min="14" max="14" width="25.33203125" style="14" bestFit="1" customWidth="1"/>
    <col min="15" max="15" width="25.5" style="14" bestFit="1" customWidth="1"/>
    <col min="16" max="16" width="30.83203125" style="14" bestFit="1" customWidth="1"/>
    <col min="17" max="17" width="16.5" bestFit="1" customWidth="1"/>
    <col min="18" max="18" width="21.83203125" style="15" bestFit="1" customWidth="1"/>
    <col min="19" max="19" width="27.83203125" style="14" bestFit="1" customWidth="1"/>
    <col min="20" max="20" width="19.5" style="15" bestFit="1" customWidth="1"/>
    <col min="21" max="21" width="25.33203125" style="14" bestFit="1" customWidth="1"/>
    <col min="22" max="22" width="22.1640625" style="15" bestFit="1" customWidth="1"/>
    <col min="23" max="23" width="27.83203125" style="14" bestFit="1" customWidth="1"/>
    <col min="24" max="24" width="20" style="15" bestFit="1" customWidth="1"/>
    <col min="25" max="25" width="26.1640625" style="14" bestFit="1" customWidth="1"/>
    <col min="26" max="26" width="30.5" style="14" bestFit="1" customWidth="1"/>
    <col min="27" max="27" width="28.5" style="14" bestFit="1" customWidth="1"/>
    <col min="28" max="28" width="28" style="14" bestFit="1" customWidth="1"/>
    <col min="29" max="29" width="28.1640625" style="14" bestFit="1" customWidth="1"/>
    <col min="30" max="30" width="33.5" style="14" bestFit="1" customWidth="1"/>
    <col min="31" max="31" width="12.33203125" bestFit="1" customWidth="1"/>
    <col min="32" max="32" width="27" bestFit="1" customWidth="1"/>
    <col min="33" max="33" width="23.83203125" bestFit="1" customWidth="1"/>
    <col min="34" max="34" width="12.5" bestFit="1" customWidth="1"/>
    <col min="35" max="35" width="17" bestFit="1" customWidth="1"/>
    <col min="36" max="36" width="10.5" bestFit="1" customWidth="1"/>
    <col min="37" max="37" width="26.1640625" bestFit="1" customWidth="1"/>
    <col min="38" max="38" width="66.5" bestFit="1" customWidth="1"/>
    <col min="39" max="39" width="6.33203125" bestFit="1" customWidth="1"/>
    <col min="40" max="40" width="10.5" bestFit="1" customWidth="1"/>
    <col min="41" max="41" width="11.5" bestFit="1" customWidth="1"/>
  </cols>
  <sheetData>
    <row r="1" spans="1:46">
      <c r="A1" t="s">
        <v>69</v>
      </c>
      <c r="B1" t="s">
        <v>70</v>
      </c>
      <c r="C1" t="s">
        <v>71</v>
      </c>
      <c r="D1" s="15" t="s">
        <v>72</v>
      </c>
      <c r="E1" s="14" t="s">
        <v>73</v>
      </c>
      <c r="F1" s="15" t="s">
        <v>104</v>
      </c>
      <c r="G1" s="14" t="s">
        <v>105</v>
      </c>
      <c r="H1" s="15" t="s">
        <v>106</v>
      </c>
      <c r="I1" s="14" t="s">
        <v>107</v>
      </c>
      <c r="J1" s="15" t="s">
        <v>75</v>
      </c>
      <c r="K1" s="14" t="s">
        <v>74</v>
      </c>
      <c r="L1" s="14" t="s">
        <v>76</v>
      </c>
      <c r="M1" s="14" t="s">
        <v>77</v>
      </c>
      <c r="N1" s="14" t="s">
        <v>78</v>
      </c>
      <c r="O1" s="14" t="s">
        <v>79</v>
      </c>
      <c r="P1" s="14" t="s">
        <v>80</v>
      </c>
      <c r="Q1" t="s">
        <v>81</v>
      </c>
      <c r="R1" s="15" t="s">
        <v>82</v>
      </c>
      <c r="S1" s="14" t="s">
        <v>83</v>
      </c>
      <c r="T1" s="15" t="s">
        <v>108</v>
      </c>
      <c r="U1" s="14" t="s">
        <v>109</v>
      </c>
      <c r="V1" s="15" t="s">
        <v>110</v>
      </c>
      <c r="W1" s="14" t="s">
        <v>111</v>
      </c>
      <c r="X1" s="15" t="s">
        <v>84</v>
      </c>
      <c r="Y1" s="14" t="s">
        <v>85</v>
      </c>
      <c r="Z1" s="14" t="s">
        <v>86</v>
      </c>
      <c r="AA1" s="14" t="s">
        <v>87</v>
      </c>
      <c r="AB1" s="14" t="s">
        <v>88</v>
      </c>
      <c r="AC1" s="14" t="s">
        <v>89</v>
      </c>
      <c r="AD1" s="14" t="s">
        <v>90</v>
      </c>
      <c r="AE1" s="15" t="s">
        <v>91</v>
      </c>
      <c r="AF1" s="15" t="s">
        <v>92</v>
      </c>
      <c r="AG1" s="15" t="s">
        <v>93</v>
      </c>
      <c r="AH1" s="15" t="s">
        <v>94</v>
      </c>
      <c r="AI1" s="15" t="s">
        <v>95</v>
      </c>
      <c r="AJ1" s="15" t="s">
        <v>96</v>
      </c>
      <c r="AK1" s="15" t="s">
        <v>97</v>
      </c>
      <c r="AL1" s="15" t="s">
        <v>98</v>
      </c>
      <c r="AM1" s="15" t="s">
        <v>0</v>
      </c>
      <c r="AN1" s="15" t="s">
        <v>99</v>
      </c>
      <c r="AO1" s="15" t="s">
        <v>100</v>
      </c>
      <c r="AP1" s="15" t="s">
        <v>266</v>
      </c>
    </row>
    <row r="2" spans="1:46">
      <c r="A2" t="s">
        <v>263</v>
      </c>
      <c r="B2" t="s">
        <v>264</v>
      </c>
      <c r="C2" s="12"/>
      <c r="Q2" s="12"/>
      <c r="R2" s="12"/>
      <c r="AE2" s="12">
        <v>40840</v>
      </c>
      <c r="AF2" s="15">
        <v>5.8999999999999999E-3</v>
      </c>
      <c r="AI2" s="12">
        <v>39588</v>
      </c>
      <c r="AJ2" s="12" t="s">
        <v>265</v>
      </c>
      <c r="AK2" t="s">
        <v>101</v>
      </c>
      <c r="AL2" t="s">
        <v>267</v>
      </c>
      <c r="AM2">
        <v>2011</v>
      </c>
      <c r="AN2" s="16">
        <v>0</v>
      </c>
      <c r="AO2" s="16">
        <v>-54001</v>
      </c>
      <c r="AP2" s="11">
        <v>0</v>
      </c>
    </row>
    <row r="3" spans="1:46">
      <c r="A3" t="s">
        <v>263</v>
      </c>
      <c r="B3" t="s">
        <v>264</v>
      </c>
      <c r="C3" s="12"/>
      <c r="Q3" s="12"/>
      <c r="R3" s="12"/>
      <c r="AE3" s="12">
        <v>40840</v>
      </c>
      <c r="AF3" s="15">
        <v>5.8999999999999999E-3</v>
      </c>
      <c r="AI3" s="12">
        <v>39588</v>
      </c>
      <c r="AJ3" s="12" t="s">
        <v>265</v>
      </c>
      <c r="AK3" t="s">
        <v>101</v>
      </c>
      <c r="AL3" t="s">
        <v>267</v>
      </c>
      <c r="AM3">
        <v>2012</v>
      </c>
      <c r="AN3" s="16">
        <v>-23.8</v>
      </c>
      <c r="AO3" s="16">
        <v>-60504</v>
      </c>
      <c r="AP3" s="11">
        <v>0</v>
      </c>
    </row>
    <row r="4" spans="1:46">
      <c r="A4" t="s">
        <v>263</v>
      </c>
      <c r="B4" t="s">
        <v>264</v>
      </c>
      <c r="C4" s="12"/>
      <c r="Q4" s="12"/>
      <c r="R4" s="12"/>
      <c r="AE4" s="12">
        <v>40840</v>
      </c>
      <c r="AF4" s="15">
        <v>5.8999999999999999E-3</v>
      </c>
      <c r="AI4" s="12">
        <v>39588</v>
      </c>
      <c r="AJ4" s="12" t="s">
        <v>265</v>
      </c>
      <c r="AK4" t="s">
        <v>101</v>
      </c>
      <c r="AL4" t="s">
        <v>267</v>
      </c>
      <c r="AM4">
        <v>2013</v>
      </c>
      <c r="AN4" s="16">
        <v>-15.4</v>
      </c>
      <c r="AO4" s="16">
        <v>0</v>
      </c>
      <c r="AP4" s="11">
        <v>0</v>
      </c>
    </row>
    <row r="5" spans="1:46">
      <c r="C5" s="12"/>
      <c r="Q5" s="12"/>
      <c r="R5" s="12"/>
      <c r="AF5" s="12"/>
      <c r="AI5" s="12"/>
      <c r="AJ5" s="12"/>
      <c r="AN5" s="16"/>
      <c r="AO5" s="16"/>
    </row>
    <row r="6" spans="1:46">
      <c r="C6" s="12"/>
      <c r="Q6" s="12"/>
      <c r="AF6" s="12"/>
      <c r="AJ6" s="12"/>
      <c r="AN6" s="16"/>
      <c r="AO6" s="16"/>
      <c r="AP6" s="11"/>
      <c r="AT6" t="s">
        <v>261</v>
      </c>
    </row>
    <row r="7" spans="1:46">
      <c r="C7" s="12"/>
      <c r="Q7" s="12"/>
      <c r="AF7" s="12"/>
      <c r="AJ7" s="12"/>
      <c r="AN7" s="16"/>
      <c r="AO7" s="16"/>
      <c r="AP7" s="11"/>
    </row>
    <row r="8" spans="1:46">
      <c r="C8" s="12"/>
      <c r="E8" s="11"/>
      <c r="G8" s="11"/>
      <c r="K8" s="11"/>
      <c r="M8" s="11"/>
      <c r="P8" s="11"/>
      <c r="Q8" s="12"/>
      <c r="AF8" s="12"/>
      <c r="AI8" s="12"/>
      <c r="AJ8" s="12"/>
      <c r="AN8" s="16"/>
      <c r="AO8" s="16"/>
      <c r="AP8" s="11"/>
    </row>
    <row r="9" spans="1:46">
      <c r="C9" s="12"/>
      <c r="E9" s="11"/>
      <c r="G9" s="11"/>
      <c r="K9" s="11"/>
      <c r="M9" s="11"/>
      <c r="P9" s="11"/>
      <c r="Q9" s="12"/>
      <c r="AF9" s="12"/>
      <c r="AI9" s="12"/>
      <c r="AJ9" s="12"/>
      <c r="AN9" s="16"/>
      <c r="AO9" s="16"/>
    </row>
    <row r="10" spans="1:46">
      <c r="C10" s="12"/>
      <c r="E10" s="11"/>
      <c r="G10" s="11"/>
      <c r="K10" s="11"/>
      <c r="M10" s="11"/>
      <c r="P10" s="11"/>
      <c r="Q10" s="12"/>
      <c r="AF10" s="12"/>
      <c r="AI10" s="12"/>
      <c r="AN10" s="16"/>
      <c r="AO10" s="16"/>
      <c r="AP10" s="11"/>
    </row>
    <row r="11" spans="1:46">
      <c r="C11" s="12"/>
      <c r="Q11" s="12"/>
      <c r="R11" s="12"/>
      <c r="AF11" s="12"/>
      <c r="AI11" s="12"/>
      <c r="AJ11" s="12"/>
      <c r="AN11" s="16"/>
      <c r="AO11" s="16"/>
      <c r="AP11" s="11"/>
    </row>
    <row r="12" spans="1:46">
      <c r="C12" s="12"/>
      <c r="Q12" s="12"/>
      <c r="R12" s="12"/>
      <c r="AF12" s="12"/>
      <c r="AI12" s="12"/>
      <c r="AJ12" s="12"/>
      <c r="AN12" s="16"/>
      <c r="AO12" s="16"/>
      <c r="AP12" s="11"/>
    </row>
    <row r="13" spans="1:46">
      <c r="C13" s="12"/>
      <c r="Q13" s="12"/>
      <c r="R13" s="12"/>
      <c r="AF13" s="12"/>
      <c r="AI13" s="12"/>
      <c r="AJ13" s="12"/>
      <c r="AN13" s="16"/>
      <c r="AO13" s="16"/>
    </row>
    <row r="14" spans="1:46">
      <c r="C14" s="12"/>
      <c r="Q14" s="12"/>
      <c r="AF14" s="12"/>
      <c r="AI14" s="12"/>
      <c r="AN14" s="16"/>
      <c r="AO14" s="16"/>
    </row>
    <row r="15" spans="1:46">
      <c r="C15" s="12"/>
      <c r="Q15" s="12"/>
      <c r="AF15" s="12"/>
      <c r="AI15" s="12"/>
      <c r="AN15" s="16"/>
      <c r="AO15" s="16"/>
    </row>
    <row r="16" spans="1:46">
      <c r="C16" s="12"/>
      <c r="Q16" s="12"/>
      <c r="AF16" s="12"/>
      <c r="AI16" s="12"/>
      <c r="AN16" s="16"/>
      <c r="AO16" s="16"/>
    </row>
    <row r="17" spans="3:41">
      <c r="C17" s="12"/>
      <c r="Q17" s="12"/>
      <c r="R17" s="12"/>
      <c r="AF17" s="12"/>
      <c r="AI17" s="12"/>
      <c r="AN17" s="16"/>
      <c r="AO17" s="16"/>
    </row>
    <row r="18" spans="3:41">
      <c r="C18" s="12"/>
      <c r="Q18" s="12"/>
      <c r="R18" s="12"/>
      <c r="AF18" s="12"/>
      <c r="AI18" s="12"/>
      <c r="AN18" s="16"/>
      <c r="AO18" s="16"/>
    </row>
    <row r="19" spans="3:41">
      <c r="C19" s="12"/>
      <c r="Q19" s="12"/>
      <c r="R19" s="12"/>
      <c r="AF19" s="12"/>
      <c r="AI19" s="12"/>
      <c r="AN19" s="16"/>
      <c r="AO19" s="16"/>
    </row>
    <row r="20" spans="3:41">
      <c r="C20" s="12"/>
      <c r="E20" s="11"/>
      <c r="G20" s="11"/>
      <c r="I20" s="11"/>
      <c r="K20" s="11"/>
      <c r="M20" s="11"/>
      <c r="Q20" s="12"/>
      <c r="R20" s="12"/>
      <c r="AA20" s="11"/>
      <c r="AB20" s="11"/>
      <c r="AF20" s="12"/>
      <c r="AI20" s="12"/>
      <c r="AN20" s="16"/>
      <c r="AO20" s="16"/>
    </row>
    <row r="21" spans="3:41">
      <c r="C21" s="12"/>
      <c r="E21" s="11"/>
      <c r="G21" s="11"/>
      <c r="I21" s="11"/>
      <c r="K21" s="11"/>
      <c r="M21" s="11"/>
      <c r="Q21" s="12"/>
      <c r="R21" s="12"/>
      <c r="AA21" s="11"/>
      <c r="AB21" s="11"/>
      <c r="AF21" s="12"/>
      <c r="AI21" s="12"/>
      <c r="AN21" s="16"/>
      <c r="AO21" s="16"/>
    </row>
    <row r="22" spans="3:41">
      <c r="C22" s="12"/>
      <c r="E22" s="11"/>
      <c r="G22" s="11"/>
      <c r="I22" s="11"/>
      <c r="K22" s="11"/>
      <c r="M22" s="11"/>
      <c r="Q22" s="12"/>
      <c r="R22" s="12"/>
      <c r="AA22" s="11"/>
      <c r="AB22" s="11"/>
      <c r="AF22" s="12"/>
      <c r="AI22" s="12"/>
      <c r="AN22" s="16"/>
      <c r="AO22" s="16"/>
    </row>
    <row r="23" spans="3:41">
      <c r="C23" s="12"/>
      <c r="Q23" s="12"/>
      <c r="AF23" s="12"/>
      <c r="AI23" s="12"/>
      <c r="AN23" s="16"/>
      <c r="AO23" s="16"/>
    </row>
    <row r="24" spans="3:41">
      <c r="C24" s="12"/>
      <c r="Q24" s="12"/>
      <c r="AF24" s="12"/>
      <c r="AI24" s="12"/>
      <c r="AN24" s="16"/>
      <c r="AO24" s="16"/>
    </row>
    <row r="25" spans="3:41">
      <c r="C25" s="12"/>
      <c r="Q25" s="12"/>
      <c r="AF25" s="12"/>
      <c r="AI25" s="12"/>
      <c r="AN25" s="16"/>
      <c r="AO25" s="16"/>
    </row>
    <row r="26" spans="3:41">
      <c r="C26" s="12"/>
      <c r="Q26" s="12"/>
      <c r="R26" s="12"/>
      <c r="AF26" s="12"/>
      <c r="AI26" s="12"/>
      <c r="AJ26" s="12"/>
      <c r="AN26" s="16"/>
      <c r="AO26" s="16"/>
    </row>
    <row r="27" spans="3:41">
      <c r="C27" s="12"/>
      <c r="Q27" s="12"/>
      <c r="R27" s="12"/>
      <c r="AF27" s="12"/>
      <c r="AI27" s="12"/>
      <c r="AJ27" s="12"/>
      <c r="AN27" s="16"/>
      <c r="AO27" s="16"/>
    </row>
    <row r="28" spans="3:41">
      <c r="C28" s="12"/>
      <c r="Q28" s="12"/>
      <c r="R28" s="12"/>
      <c r="AF28" s="12"/>
      <c r="AI28" s="12"/>
      <c r="AJ28" s="12"/>
      <c r="AN28" s="16"/>
      <c r="AO28" s="16"/>
    </row>
    <row r="29" spans="3:41">
      <c r="C29" s="12"/>
      <c r="Q29" s="12"/>
      <c r="AF29" s="12"/>
      <c r="AI29" s="12"/>
      <c r="AN29" s="16"/>
      <c r="AO29" s="16"/>
    </row>
    <row r="30" spans="3:41">
      <c r="C30" s="12"/>
      <c r="Q30" s="12"/>
      <c r="AF30" s="12"/>
      <c r="AI30" s="12"/>
      <c r="AN30" s="16"/>
      <c r="AO30" s="16"/>
    </row>
    <row r="31" spans="3:41">
      <c r="C31" s="12"/>
      <c r="Q31" s="12"/>
      <c r="AF31" s="12"/>
      <c r="AI31" s="12"/>
      <c r="AN31" s="16"/>
      <c r="AO31" s="16"/>
    </row>
    <row r="32" spans="3:41">
      <c r="C32" s="12"/>
      <c r="Q32" s="12"/>
      <c r="AF32" s="12"/>
      <c r="AI32" s="12"/>
      <c r="AN32" s="16"/>
      <c r="AO32" s="16"/>
    </row>
    <row r="33" spans="3:41">
      <c r="C33" s="12"/>
      <c r="Q33" s="12"/>
      <c r="AF33" s="12"/>
      <c r="AI33" s="12"/>
      <c r="AN33" s="16"/>
      <c r="AO33" s="16"/>
    </row>
    <row r="34" spans="3:41">
      <c r="C34" s="12"/>
      <c r="Q34" s="12"/>
      <c r="AF34" s="12"/>
      <c r="AI34" s="12"/>
      <c r="AN34" s="16"/>
      <c r="AO34" s="16"/>
    </row>
    <row r="35" spans="3:41">
      <c r="C35" s="12"/>
      <c r="Q35" s="12"/>
      <c r="AF35" s="12"/>
      <c r="AI35" s="12"/>
      <c r="AN35" s="16"/>
      <c r="AO35" s="16"/>
    </row>
    <row r="36" spans="3:41">
      <c r="C36" s="12"/>
      <c r="Q36" s="12"/>
      <c r="AF36" s="12"/>
      <c r="AI36" s="12"/>
      <c r="AN36" s="16"/>
      <c r="AO36" s="16"/>
    </row>
    <row r="37" spans="3:41">
      <c r="C37" s="12"/>
      <c r="Q37" s="12"/>
      <c r="AF37" s="12"/>
      <c r="AI37" s="12"/>
      <c r="AN37" s="16"/>
      <c r="AO37" s="16"/>
    </row>
    <row r="38" spans="3:41">
      <c r="C38" s="12"/>
      <c r="Q38" s="12"/>
      <c r="R38" s="12"/>
      <c r="AF38" s="12"/>
      <c r="AI38" s="12"/>
      <c r="AN38" s="16"/>
      <c r="AO38" s="16"/>
    </row>
    <row r="39" spans="3:41">
      <c r="C39" s="12"/>
      <c r="Q39" s="12"/>
      <c r="R39" s="12"/>
      <c r="AF39" s="12"/>
      <c r="AI39" s="12"/>
      <c r="AN39" s="16"/>
      <c r="AO39" s="16"/>
    </row>
    <row r="40" spans="3:41">
      <c r="C40" s="12"/>
      <c r="Q40" s="12"/>
      <c r="R40" s="12"/>
      <c r="AF40" s="12"/>
      <c r="AI40" s="12"/>
      <c r="AN40" s="16"/>
      <c r="AO40" s="16"/>
    </row>
    <row r="41" spans="3:41">
      <c r="C41" s="12"/>
      <c r="Q41" s="12"/>
      <c r="R41" s="12"/>
      <c r="AF41" s="12"/>
      <c r="AI41" s="12"/>
      <c r="AN41" s="16"/>
      <c r="AO41" s="16"/>
    </row>
    <row r="42" spans="3:41">
      <c r="C42" s="12"/>
      <c r="Q42" s="12"/>
      <c r="R42" s="12"/>
      <c r="AF42" s="12"/>
      <c r="AI42" s="12"/>
      <c r="AN42" s="16"/>
      <c r="AO42" s="16"/>
    </row>
    <row r="43" spans="3:41">
      <c r="C43" s="12"/>
      <c r="Q43" s="12"/>
      <c r="R43" s="12"/>
      <c r="AF43" s="12"/>
      <c r="AI43" s="12"/>
      <c r="AN43" s="16"/>
      <c r="AO43" s="16"/>
    </row>
    <row r="44" spans="3:41">
      <c r="C44" s="12"/>
      <c r="Q44" s="12"/>
      <c r="AI44" s="12"/>
      <c r="AN44" s="16"/>
      <c r="AO44" s="16"/>
    </row>
    <row r="45" spans="3:41">
      <c r="C45" s="12"/>
      <c r="Q45" s="12"/>
      <c r="AI45" s="12"/>
      <c r="AN45" s="16"/>
      <c r="AO45" s="16"/>
    </row>
    <row r="46" spans="3:41">
      <c r="C46" s="12"/>
      <c r="Q46" s="12"/>
      <c r="AI46" s="12"/>
      <c r="AN46" s="16"/>
      <c r="AO46" s="16"/>
    </row>
    <row r="47" spans="3:41">
      <c r="C47" s="12"/>
      <c r="E47" s="11"/>
      <c r="G47" s="11"/>
      <c r="I47" s="11"/>
      <c r="K47" s="11"/>
      <c r="L47" s="11"/>
      <c r="M47" s="11"/>
      <c r="N47" s="11"/>
      <c r="O47" s="11"/>
      <c r="P47" s="11"/>
      <c r="Q47" s="12"/>
      <c r="S47" s="11"/>
      <c r="U47" s="11"/>
      <c r="W47" s="11"/>
      <c r="Y47" s="11"/>
      <c r="Z47" s="11"/>
      <c r="AA47" s="11"/>
      <c r="AB47" s="11"/>
      <c r="AC47" s="11"/>
      <c r="AD47" s="11"/>
      <c r="AI47" s="12"/>
      <c r="AN47" s="16"/>
      <c r="AO47" s="16"/>
    </row>
    <row r="48" spans="3:41">
      <c r="C48" s="12"/>
      <c r="E48" s="11"/>
      <c r="G48" s="11"/>
      <c r="I48" s="11"/>
      <c r="K48" s="11"/>
      <c r="L48" s="11"/>
      <c r="M48" s="11"/>
      <c r="N48" s="11"/>
      <c r="O48" s="11"/>
      <c r="P48" s="11"/>
      <c r="Q48" s="12"/>
      <c r="S48" s="11"/>
      <c r="U48" s="11"/>
      <c r="W48" s="11"/>
      <c r="Y48" s="11"/>
      <c r="Z48" s="11"/>
      <c r="AA48" s="11"/>
      <c r="AB48" s="11"/>
      <c r="AC48" s="11"/>
      <c r="AD48" s="11"/>
      <c r="AI48" s="12"/>
      <c r="AN48" s="16"/>
      <c r="AO48" s="16"/>
    </row>
    <row r="49" spans="3:41">
      <c r="C49" s="12"/>
      <c r="E49" s="11"/>
      <c r="G49" s="11"/>
      <c r="I49" s="11"/>
      <c r="K49" s="11"/>
      <c r="L49" s="11"/>
      <c r="M49" s="11"/>
      <c r="N49" s="11"/>
      <c r="O49" s="11"/>
      <c r="P49" s="11"/>
      <c r="Q49" s="12"/>
      <c r="S49" s="11"/>
      <c r="U49" s="11"/>
      <c r="W49" s="11"/>
      <c r="Y49" s="11"/>
      <c r="Z49" s="11"/>
      <c r="AA49" s="11"/>
      <c r="AB49" s="11"/>
      <c r="AC49" s="11"/>
      <c r="AD49" s="11"/>
      <c r="AI49" s="12"/>
      <c r="AN49" s="16"/>
      <c r="AO49" s="16"/>
    </row>
    <row r="50" spans="3:41">
      <c r="C50" s="12"/>
      <c r="Q50" s="12"/>
      <c r="AI50" s="12"/>
      <c r="AJ50" s="12"/>
      <c r="AN50" s="16"/>
      <c r="AO50" s="16"/>
    </row>
    <row r="51" spans="3:41">
      <c r="C51" s="12"/>
      <c r="Q51" s="12"/>
      <c r="AI51" s="12"/>
      <c r="AJ51" s="12"/>
      <c r="AN51" s="16"/>
      <c r="AO51" s="16"/>
    </row>
    <row r="52" spans="3:41">
      <c r="C52" s="12"/>
      <c r="Q52" s="12"/>
      <c r="AI52" s="12"/>
      <c r="AJ52" s="12"/>
      <c r="AN52" s="16"/>
      <c r="AO52" s="16"/>
    </row>
    <row r="53" spans="3:41">
      <c r="C53" s="12"/>
      <c r="Q53" s="12"/>
      <c r="R53" s="12"/>
      <c r="AF53" s="12"/>
      <c r="AI53" s="12"/>
      <c r="AN53" s="16"/>
      <c r="AO53" s="16"/>
    </row>
    <row r="54" spans="3:41">
      <c r="C54" s="12"/>
      <c r="Q54" s="12"/>
      <c r="R54" s="12"/>
      <c r="AF54" s="12"/>
      <c r="AI54" s="12"/>
      <c r="AN54" s="16"/>
      <c r="AO54" s="16"/>
    </row>
    <row r="55" spans="3:41">
      <c r="C55" s="12"/>
      <c r="Q55" s="12"/>
      <c r="R55" s="12"/>
      <c r="AF55" s="12"/>
      <c r="AI55" s="12"/>
      <c r="AN55" s="16"/>
      <c r="AO55" s="16"/>
    </row>
    <row r="56" spans="3:41">
      <c r="C56" s="12"/>
      <c r="Q56" s="12"/>
      <c r="AI56" s="12"/>
      <c r="AN56" s="16"/>
      <c r="AO56" s="16"/>
    </row>
    <row r="57" spans="3:41">
      <c r="C57" s="12"/>
      <c r="Q57" s="12"/>
      <c r="AI57" s="12"/>
      <c r="AN57" s="16"/>
      <c r="AO57" s="16"/>
    </row>
    <row r="58" spans="3:41">
      <c r="C58" s="12"/>
      <c r="Q58" s="12"/>
      <c r="AI58" s="12"/>
      <c r="AN58" s="16"/>
      <c r="AO58" s="16"/>
    </row>
    <row r="59" spans="3:41">
      <c r="C59" s="12"/>
      <c r="Q59" s="12"/>
      <c r="AI59" s="12"/>
      <c r="AJ59" s="12"/>
    </row>
    <row r="60" spans="3:41">
      <c r="C60" s="12"/>
      <c r="Q60" s="12"/>
      <c r="AI60" s="12"/>
      <c r="AJ60" s="12"/>
    </row>
    <row r="61" spans="3:41">
      <c r="C61" s="12"/>
      <c r="Q61" s="12"/>
      <c r="AI61" s="12"/>
      <c r="AJ61" s="12"/>
    </row>
    <row r="62" spans="3:41">
      <c r="C62" s="12"/>
      <c r="AF62" s="12"/>
      <c r="AI62" s="12"/>
      <c r="AN62" s="11"/>
      <c r="AO62" s="11"/>
    </row>
    <row r="63" spans="3:41">
      <c r="C63" s="12"/>
      <c r="AF63" s="12"/>
      <c r="AI63" s="12"/>
      <c r="AN63" s="11"/>
      <c r="AO63" s="11"/>
    </row>
    <row r="64" spans="3:41">
      <c r="C64" s="12"/>
      <c r="AF64" s="12"/>
      <c r="AI64" s="12"/>
      <c r="AN64" s="11"/>
      <c r="AO64" s="11"/>
    </row>
    <row r="65" spans="3:41">
      <c r="C65" s="12"/>
      <c r="Q65" s="12"/>
      <c r="R65" s="12"/>
      <c r="AI65" s="12"/>
      <c r="AN65" s="11"/>
      <c r="AO65" s="11"/>
    </row>
    <row r="66" spans="3:41">
      <c r="C66" s="12"/>
      <c r="Q66" s="12"/>
      <c r="R66" s="12"/>
      <c r="AI66" s="12"/>
      <c r="AN66" s="11"/>
      <c r="AO66" s="11"/>
    </row>
    <row r="67" spans="3:41">
      <c r="C67" s="12"/>
      <c r="Q67" s="12"/>
      <c r="R67" s="12"/>
      <c r="AI67" s="12"/>
      <c r="AN67" s="11"/>
      <c r="AO67" s="11"/>
    </row>
    <row r="68" spans="3:41">
      <c r="C68" s="12"/>
      <c r="Q68" s="12"/>
      <c r="AI68" s="12"/>
      <c r="AJ68" s="12"/>
      <c r="AN68" s="11"/>
      <c r="AO68" s="11"/>
    </row>
    <row r="69" spans="3:41">
      <c r="C69" s="12"/>
      <c r="Q69" s="12"/>
      <c r="AI69" s="12"/>
      <c r="AJ69" s="12"/>
      <c r="AN69" s="11"/>
      <c r="AO69" s="11"/>
    </row>
    <row r="70" spans="3:41">
      <c r="C70" s="12"/>
      <c r="Q70" s="12"/>
      <c r="AI70" s="12"/>
      <c r="AJ70" s="12"/>
      <c r="AN70" s="11"/>
      <c r="AO70" s="11"/>
    </row>
    <row r="71" spans="3:41">
      <c r="C71" s="12"/>
      <c r="Q71" s="12"/>
      <c r="AF71" s="12"/>
      <c r="AI71" s="12"/>
      <c r="AN71" s="11"/>
      <c r="AO71" s="11"/>
    </row>
    <row r="72" spans="3:41">
      <c r="C72" s="12"/>
      <c r="Q72" s="12"/>
      <c r="AF72" s="12"/>
      <c r="AI72" s="12"/>
      <c r="AN72" s="11"/>
      <c r="AO72" s="11"/>
    </row>
    <row r="73" spans="3:41">
      <c r="C73" s="12"/>
      <c r="Q73" s="12"/>
      <c r="AF73" s="12"/>
      <c r="AI73" s="12"/>
      <c r="AN73" s="11"/>
      <c r="AO73" s="11"/>
    </row>
    <row r="74" spans="3:41">
      <c r="C74" s="12"/>
      <c r="Q74" s="12"/>
      <c r="R74" s="12"/>
      <c r="AI74" s="12"/>
      <c r="AN74" s="11"/>
      <c r="AO74" s="11"/>
    </row>
    <row r="75" spans="3:41">
      <c r="C75" s="12"/>
      <c r="R75" s="12"/>
      <c r="AI75" s="12"/>
      <c r="AN75" s="11"/>
      <c r="AO75" s="11"/>
    </row>
    <row r="76" spans="3:41">
      <c r="C76" s="12"/>
      <c r="R76" s="12"/>
      <c r="AI76" s="12"/>
      <c r="AN76" s="11"/>
      <c r="AO76" s="11"/>
    </row>
    <row r="77" spans="3:41">
      <c r="C77" s="12"/>
      <c r="AI77" s="12"/>
      <c r="AN77" s="11"/>
      <c r="AO77" s="11"/>
    </row>
    <row r="78" spans="3:41">
      <c r="C78" s="12"/>
      <c r="AI78" s="12"/>
      <c r="AN78" s="11"/>
      <c r="AO78" s="11"/>
    </row>
    <row r="79" spans="3:41">
      <c r="C79" s="12"/>
      <c r="AI79" s="12"/>
      <c r="AN79" s="11"/>
      <c r="AO79" s="11"/>
    </row>
    <row r="80" spans="3:41">
      <c r="C80" s="12"/>
      <c r="E80" s="11"/>
      <c r="G80" s="11"/>
      <c r="K80" s="11"/>
      <c r="M80" s="11"/>
      <c r="AI80" s="12"/>
      <c r="AN80" s="11"/>
      <c r="AO80" s="11"/>
    </row>
    <row r="81" spans="3:41">
      <c r="C81" s="12"/>
      <c r="E81" s="11"/>
      <c r="G81" s="11"/>
      <c r="K81" s="11"/>
      <c r="M81" s="11"/>
      <c r="AI81" s="12"/>
      <c r="AN81" s="11"/>
      <c r="AO81" s="11"/>
    </row>
    <row r="82" spans="3:41">
      <c r="C82" s="12"/>
      <c r="E82" s="11"/>
      <c r="G82" s="11"/>
      <c r="K82" s="11"/>
      <c r="M82" s="11"/>
      <c r="AI82" s="12"/>
      <c r="AN82" s="11"/>
      <c r="AO82" s="11"/>
    </row>
    <row r="83" spans="3:41">
      <c r="C83" s="12"/>
      <c r="R83" s="12"/>
      <c r="AF83" s="12"/>
      <c r="AI83" s="12"/>
      <c r="AN83" s="11"/>
      <c r="AO83" s="11"/>
    </row>
    <row r="84" spans="3:41">
      <c r="C84" s="12"/>
      <c r="Q84" s="12"/>
      <c r="R84" s="12"/>
      <c r="AF84" s="12"/>
      <c r="AI84" s="12"/>
      <c r="AN84" s="11"/>
      <c r="AO84" s="11"/>
    </row>
    <row r="85" spans="3:41">
      <c r="C85" s="12"/>
      <c r="R85" s="12"/>
      <c r="AF85" s="12"/>
      <c r="AI85" s="12"/>
      <c r="AN85" s="11"/>
      <c r="AO85" s="11"/>
    </row>
    <row r="86" spans="3:41">
      <c r="C86" s="12"/>
      <c r="AF86" s="12"/>
      <c r="AI86" s="12"/>
      <c r="AN86" s="11"/>
      <c r="AO86" s="11"/>
    </row>
    <row r="87" spans="3:41">
      <c r="C87" s="12"/>
      <c r="Q87" s="12"/>
      <c r="AF87" s="12"/>
      <c r="AI87" s="12"/>
      <c r="AN87" s="11"/>
      <c r="AO87" s="11"/>
    </row>
    <row r="88" spans="3:41">
      <c r="C88" s="12"/>
      <c r="Q88" s="12"/>
      <c r="AF88" s="12"/>
      <c r="AI88" s="12"/>
      <c r="AN88" s="11"/>
      <c r="AO88" s="11"/>
    </row>
    <row r="89" spans="3:41">
      <c r="C89" s="12"/>
      <c r="M89" s="11"/>
      <c r="Q89" s="12"/>
      <c r="AF89" s="12"/>
      <c r="AI89" s="12"/>
      <c r="AN89" s="11"/>
      <c r="AO89" s="11"/>
    </row>
    <row r="90" spans="3:41">
      <c r="C90" s="12"/>
      <c r="M90" s="11"/>
      <c r="AF90" s="12"/>
      <c r="AI90" s="12"/>
      <c r="AN90" s="11"/>
      <c r="AO90" s="11"/>
    </row>
    <row r="91" spans="3:41">
      <c r="C91" s="12"/>
      <c r="M91" s="11"/>
      <c r="AF91" s="12"/>
      <c r="AI91" s="12"/>
      <c r="AN91" s="11"/>
      <c r="AO91" s="11"/>
    </row>
    <row r="92" spans="3:41">
      <c r="C92" s="12"/>
      <c r="AF92" s="12"/>
      <c r="AI92" s="12"/>
      <c r="AN92" s="11"/>
      <c r="AO92" s="11"/>
    </row>
    <row r="93" spans="3:41">
      <c r="C93" s="12"/>
      <c r="Q93" s="12"/>
      <c r="AF93" s="12"/>
      <c r="AI93" s="12"/>
      <c r="AN93" s="11"/>
      <c r="AO93" s="11"/>
    </row>
    <row r="94" spans="3:41">
      <c r="C94" s="12"/>
      <c r="AF94" s="12"/>
      <c r="AI94" s="12"/>
      <c r="AN94" s="11"/>
      <c r="AO94" s="11"/>
    </row>
    <row r="95" spans="3:41">
      <c r="C95" s="12"/>
      <c r="AF95" s="12"/>
      <c r="AN95" s="11"/>
      <c r="AO95" s="11"/>
    </row>
    <row r="96" spans="3:41">
      <c r="C96" s="12"/>
      <c r="AF96" s="12"/>
      <c r="AN96" s="11"/>
      <c r="AO96" s="11"/>
    </row>
    <row r="97" spans="3:41">
      <c r="C97" s="12"/>
      <c r="AF97" s="12"/>
      <c r="AN97" s="11"/>
      <c r="AO97" s="11"/>
    </row>
    <row r="98" spans="3:41">
      <c r="C98" s="12"/>
      <c r="AI98" s="12"/>
      <c r="AN98" s="11"/>
      <c r="AO98" s="11"/>
    </row>
    <row r="99" spans="3:41">
      <c r="C99" s="12"/>
      <c r="AI99" s="12"/>
      <c r="AN99" s="11"/>
      <c r="AO99" s="11"/>
    </row>
    <row r="100" spans="3:41">
      <c r="C100" s="12"/>
      <c r="AI100" s="12"/>
      <c r="AN100" s="11"/>
      <c r="AO100" s="11"/>
    </row>
    <row r="111" spans="3:41">
      <c r="C111" s="12"/>
      <c r="Q111" s="12"/>
    </row>
    <row r="112" spans="3:41">
      <c r="C112" s="12"/>
      <c r="Q112" s="12"/>
    </row>
    <row r="113" spans="3:17">
      <c r="C113" s="12"/>
      <c r="Q113" s="12"/>
    </row>
    <row r="138" spans="3:17">
      <c r="C138" s="12"/>
      <c r="Q138" s="12"/>
    </row>
    <row r="139" spans="3:17">
      <c r="C139" s="12"/>
      <c r="Q139" s="12"/>
    </row>
    <row r="140" spans="3:17">
      <c r="C140" s="12"/>
      <c r="Q140" s="12"/>
    </row>
    <row r="168" spans="3:17">
      <c r="C168" s="12"/>
      <c r="Q168" s="12"/>
    </row>
    <row r="169" spans="3:17">
      <c r="C169" s="12"/>
      <c r="Q169" s="12"/>
    </row>
    <row r="170" spans="3:17">
      <c r="C170" s="12"/>
      <c r="Q170" s="12"/>
    </row>
    <row r="201" spans="3:17">
      <c r="C201" s="12"/>
      <c r="Q201" s="12"/>
    </row>
    <row r="202" spans="3:17">
      <c r="C202" s="12"/>
      <c r="Q202" s="12"/>
    </row>
    <row r="203" spans="3:17">
      <c r="C203" s="12"/>
      <c r="Q203" s="12"/>
    </row>
    <row r="276" spans="3:17">
      <c r="C276" s="12"/>
      <c r="Q276" s="12"/>
    </row>
    <row r="277" spans="3:17">
      <c r="C277" s="12"/>
      <c r="Q277" s="12"/>
    </row>
    <row r="278" spans="3:17">
      <c r="C278" s="12"/>
      <c r="Q278" s="12"/>
    </row>
    <row r="363" spans="3:17">
      <c r="C363" s="12"/>
      <c r="Q363" s="12"/>
    </row>
    <row r="364" spans="3:17">
      <c r="C364" s="12"/>
      <c r="Q364" s="12"/>
    </row>
    <row r="365" spans="3:17">
      <c r="C365" s="12"/>
      <c r="Q365" s="12"/>
    </row>
    <row r="411" spans="3:17">
      <c r="C411" s="12"/>
      <c r="Q411" s="12"/>
    </row>
    <row r="412" spans="3:17">
      <c r="C412" s="12"/>
      <c r="Q412" s="12"/>
    </row>
    <row r="413" spans="3:17">
      <c r="C413" s="12"/>
      <c r="Q413" s="12"/>
    </row>
    <row r="462" spans="3:17">
      <c r="C462" s="12"/>
      <c r="Q462" s="12"/>
    </row>
    <row r="463" spans="3:17">
      <c r="C463" s="12"/>
      <c r="Q463" s="12"/>
    </row>
    <row r="464" spans="3:17">
      <c r="C464" s="12"/>
      <c r="Q464" s="12"/>
    </row>
    <row r="516" spans="3:17">
      <c r="C516" s="12"/>
      <c r="Q516" s="12"/>
    </row>
    <row r="517" spans="3:17">
      <c r="C517" s="12"/>
      <c r="Q517" s="12"/>
    </row>
    <row r="518" spans="3:17">
      <c r="C518" s="12"/>
      <c r="Q518" s="12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1:B161"/>
  <sheetViews>
    <sheetView showGridLines="0" zoomScale="85" zoomScaleNormal="85" zoomScalePageLayoutView="85" workbookViewId="0">
      <selection activeCell="C50" sqref="C50"/>
    </sheetView>
  </sheetViews>
  <sheetFormatPr baseColWidth="10" defaultColWidth="8.83203125" defaultRowHeight="14" x14ac:dyDescent="0"/>
  <sheetData>
    <row r="1" spans="2:2">
      <c r="B1" s="10" t="s">
        <v>33</v>
      </c>
    </row>
    <row r="3" spans="2:2">
      <c r="B3" t="s">
        <v>28</v>
      </c>
    </row>
    <row r="5" spans="2:2">
      <c r="B5" t="s">
        <v>29</v>
      </c>
    </row>
    <row r="6" spans="2:2">
      <c r="B6" t="s">
        <v>156</v>
      </c>
    </row>
    <row r="7" spans="2:2">
      <c r="B7" t="s">
        <v>157</v>
      </c>
    </row>
    <row r="9" spans="2:2">
      <c r="B9" t="s">
        <v>34</v>
      </c>
    </row>
    <row r="10" spans="2:2">
      <c r="B10" t="s">
        <v>158</v>
      </c>
    </row>
    <row r="11" spans="2:2">
      <c r="B11" t="s">
        <v>35</v>
      </c>
    </row>
    <row r="12" spans="2:2">
      <c r="B12" t="s">
        <v>159</v>
      </c>
    </row>
    <row r="13" spans="2:2">
      <c r="B13" t="s">
        <v>160</v>
      </c>
    </row>
    <row r="14" spans="2:2">
      <c r="B14" t="s">
        <v>161</v>
      </c>
    </row>
    <row r="15" spans="2:2">
      <c r="B15" t="s">
        <v>162</v>
      </c>
    </row>
    <row r="16" spans="2:2">
      <c r="B16" t="s">
        <v>30</v>
      </c>
    </row>
    <row r="17" spans="2:2">
      <c r="B17" t="s">
        <v>37</v>
      </c>
    </row>
    <row r="18" spans="2:2">
      <c r="B18" t="s">
        <v>163</v>
      </c>
    </row>
    <row r="19" spans="2:2">
      <c r="B19" t="s">
        <v>30</v>
      </c>
    </row>
    <row r="20" spans="2:2">
      <c r="B20" t="s">
        <v>164</v>
      </c>
    </row>
    <row r="21" spans="2:2">
      <c r="B21" t="s">
        <v>38</v>
      </c>
    </row>
    <row r="22" spans="2:2">
      <c r="B22" t="s">
        <v>39</v>
      </c>
    </row>
    <row r="23" spans="2:2">
      <c r="B23" t="s">
        <v>165</v>
      </c>
    </row>
    <row r="25" spans="2:2">
      <c r="B25" t="s">
        <v>40</v>
      </c>
    </row>
    <row r="26" spans="2:2">
      <c r="B26" t="s">
        <v>41</v>
      </c>
    </row>
    <row r="27" spans="2:2">
      <c r="B27" t="s">
        <v>42</v>
      </c>
    </row>
    <row r="28" spans="2:2">
      <c r="B28" t="s">
        <v>43</v>
      </c>
    </row>
    <row r="29" spans="2:2">
      <c r="B29" t="s">
        <v>44</v>
      </c>
    </row>
    <row r="30" spans="2:2">
      <c r="B30" t="s">
        <v>45</v>
      </c>
    </row>
    <row r="31" spans="2:2">
      <c r="B31" t="s">
        <v>36</v>
      </c>
    </row>
    <row r="32" spans="2:2">
      <c r="B32" t="s">
        <v>47</v>
      </c>
    </row>
    <row r="33" spans="2:2">
      <c r="B33" t="s">
        <v>48</v>
      </c>
    </row>
    <row r="34" spans="2:2">
      <c r="B34" t="s">
        <v>36</v>
      </c>
    </row>
    <row r="35" spans="2:2">
      <c r="B35" t="s">
        <v>49</v>
      </c>
    </row>
    <row r="36" spans="2:2">
      <c r="B36" t="s">
        <v>50</v>
      </c>
    </row>
    <row r="37" spans="2:2">
      <c r="B37" t="s">
        <v>51</v>
      </c>
    </row>
    <row r="38" spans="2:2">
      <c r="B38" t="s">
        <v>52</v>
      </c>
    </row>
    <row r="39" spans="2:2">
      <c r="B39" t="s">
        <v>166</v>
      </c>
    </row>
    <row r="40" spans="2:2">
      <c r="B40" t="s">
        <v>53</v>
      </c>
    </row>
    <row r="41" spans="2:2">
      <c r="B41" t="s">
        <v>167</v>
      </c>
    </row>
    <row r="42" spans="2:2">
      <c r="B42" t="s">
        <v>168</v>
      </c>
    </row>
    <row r="43" spans="2:2">
      <c r="B43" t="s">
        <v>169</v>
      </c>
    </row>
    <row r="44" spans="2:2">
      <c r="B44" t="s">
        <v>46</v>
      </c>
    </row>
    <row r="45" spans="2:2">
      <c r="B45" t="s">
        <v>170</v>
      </c>
    </row>
    <row r="46" spans="2:2">
      <c r="B46" t="s">
        <v>171</v>
      </c>
    </row>
    <row r="47" spans="2:2">
      <c r="B47" t="s">
        <v>172</v>
      </c>
    </row>
    <row r="48" spans="2:2">
      <c r="B48" t="s">
        <v>173</v>
      </c>
    </row>
    <row r="49" spans="2:2">
      <c r="B49" t="s">
        <v>174</v>
      </c>
    </row>
    <row r="50" spans="2:2">
      <c r="B50" t="s">
        <v>175</v>
      </c>
    </row>
    <row r="51" spans="2:2">
      <c r="B51" t="s">
        <v>176</v>
      </c>
    </row>
    <row r="52" spans="2:2">
      <c r="B52" t="s">
        <v>177</v>
      </c>
    </row>
    <row r="53" spans="2:2">
      <c r="B53" t="s">
        <v>178</v>
      </c>
    </row>
    <row r="54" spans="2:2">
      <c r="B54" t="s">
        <v>179</v>
      </c>
    </row>
    <row r="55" spans="2:2">
      <c r="B55" t="s">
        <v>180</v>
      </c>
    </row>
    <row r="56" spans="2:2">
      <c r="B56" t="s">
        <v>181</v>
      </c>
    </row>
    <row r="57" spans="2:2">
      <c r="B57" t="s">
        <v>182</v>
      </c>
    </row>
    <row r="58" spans="2:2">
      <c r="B58" t="s">
        <v>183</v>
      </c>
    </row>
    <row r="59" spans="2:2">
      <c r="B59" t="s">
        <v>46</v>
      </c>
    </row>
    <row r="60" spans="2:2">
      <c r="B60" t="s">
        <v>184</v>
      </c>
    </row>
    <row r="61" spans="2:2">
      <c r="B61" t="s">
        <v>185</v>
      </c>
    </row>
    <row r="62" spans="2:2">
      <c r="B62" t="s">
        <v>186</v>
      </c>
    </row>
    <row r="63" spans="2:2">
      <c r="B63" t="s">
        <v>187</v>
      </c>
    </row>
    <row r="64" spans="2:2">
      <c r="B64" t="s">
        <v>188</v>
      </c>
    </row>
    <row r="65" spans="2:2">
      <c r="B65" t="s">
        <v>189</v>
      </c>
    </row>
    <row r="66" spans="2:2">
      <c r="B66" t="s">
        <v>190</v>
      </c>
    </row>
    <row r="67" spans="2:2">
      <c r="B67" t="s">
        <v>191</v>
      </c>
    </row>
    <row r="68" spans="2:2">
      <c r="B68" t="s">
        <v>192</v>
      </c>
    </row>
    <row r="69" spans="2:2">
      <c r="B69" t="s">
        <v>193</v>
      </c>
    </row>
    <row r="70" spans="2:2">
      <c r="B70" t="s">
        <v>194</v>
      </c>
    </row>
    <row r="71" spans="2:2">
      <c r="B71" t="s">
        <v>195</v>
      </c>
    </row>
    <row r="72" spans="2:2">
      <c r="B72" t="s">
        <v>196</v>
      </c>
    </row>
    <row r="73" spans="2:2">
      <c r="B73" t="s">
        <v>197</v>
      </c>
    </row>
    <row r="74" spans="2:2">
      <c r="B74" t="s">
        <v>46</v>
      </c>
    </row>
    <row r="75" spans="2:2">
      <c r="B75" t="s">
        <v>198</v>
      </c>
    </row>
    <row r="76" spans="2:2">
      <c r="B76" t="s">
        <v>199</v>
      </c>
    </row>
    <row r="77" spans="2:2">
      <c r="B77" t="s">
        <v>200</v>
      </c>
    </row>
    <row r="78" spans="2:2">
      <c r="B78" t="s">
        <v>46</v>
      </c>
    </row>
    <row r="79" spans="2:2">
      <c r="B79" t="s">
        <v>201</v>
      </c>
    </row>
    <row r="80" spans="2:2">
      <c r="B80" t="s">
        <v>202</v>
      </c>
    </row>
    <row r="81" spans="2:2">
      <c r="B81" t="s">
        <v>203</v>
      </c>
    </row>
    <row r="82" spans="2:2">
      <c r="B82" t="s">
        <v>204</v>
      </c>
    </row>
    <row r="83" spans="2:2">
      <c r="B83" t="s">
        <v>205</v>
      </c>
    </row>
    <row r="84" spans="2:2">
      <c r="B84" t="s">
        <v>46</v>
      </c>
    </row>
    <row r="85" spans="2:2">
      <c r="B85" t="s">
        <v>206</v>
      </c>
    </row>
    <row r="86" spans="2:2">
      <c r="B86" t="s">
        <v>207</v>
      </c>
    </row>
    <row r="87" spans="2:2">
      <c r="B87" t="s">
        <v>208</v>
      </c>
    </row>
    <row r="88" spans="2:2">
      <c r="B88" t="s">
        <v>209</v>
      </c>
    </row>
    <row r="89" spans="2:2">
      <c r="B89" t="s">
        <v>210</v>
      </c>
    </row>
    <row r="90" spans="2:2">
      <c r="B90" t="s">
        <v>211</v>
      </c>
    </row>
    <row r="91" spans="2:2">
      <c r="B91" t="s">
        <v>54</v>
      </c>
    </row>
    <row r="92" spans="2:2">
      <c r="B92" t="s">
        <v>46</v>
      </c>
    </row>
    <row r="93" spans="2:2">
      <c r="B93" t="s">
        <v>55</v>
      </c>
    </row>
    <row r="94" spans="2:2">
      <c r="B94" t="s">
        <v>56</v>
      </c>
    </row>
    <row r="95" spans="2:2">
      <c r="B95" t="s">
        <v>57</v>
      </c>
    </row>
    <row r="96" spans="2:2">
      <c r="B96" t="s">
        <v>212</v>
      </c>
    </row>
    <row r="97" spans="2:2">
      <c r="B97" t="s">
        <v>213</v>
      </c>
    </row>
    <row r="98" spans="2:2">
      <c r="B98" t="s">
        <v>214</v>
      </c>
    </row>
    <row r="99" spans="2:2">
      <c r="B99" t="s">
        <v>215</v>
      </c>
    </row>
    <row r="100" spans="2:2">
      <c r="B100" t="s">
        <v>216</v>
      </c>
    </row>
    <row r="101" spans="2:2">
      <c r="B101" t="s">
        <v>217</v>
      </c>
    </row>
    <row r="102" spans="2:2">
      <c r="B102" t="s">
        <v>218</v>
      </c>
    </row>
    <row r="103" spans="2:2">
      <c r="B103" t="s">
        <v>219</v>
      </c>
    </row>
    <row r="104" spans="2:2">
      <c r="B104" t="s">
        <v>220</v>
      </c>
    </row>
    <row r="105" spans="2:2">
      <c r="B105" t="s">
        <v>221</v>
      </c>
    </row>
    <row r="106" spans="2:2">
      <c r="B106" t="s">
        <v>222</v>
      </c>
    </row>
    <row r="107" spans="2:2">
      <c r="B107" t="s">
        <v>223</v>
      </c>
    </row>
    <row r="108" spans="2:2">
      <c r="B108" t="s">
        <v>224</v>
      </c>
    </row>
    <row r="109" spans="2:2">
      <c r="B109" t="s">
        <v>225</v>
      </c>
    </row>
    <row r="110" spans="2:2">
      <c r="B110" t="s">
        <v>226</v>
      </c>
    </row>
    <row r="111" spans="2:2">
      <c r="B111" t="s">
        <v>227</v>
      </c>
    </row>
    <row r="112" spans="2:2">
      <c r="B112" t="s">
        <v>228</v>
      </c>
    </row>
    <row r="113" spans="2:2">
      <c r="B113" t="s">
        <v>229</v>
      </c>
    </row>
    <row r="114" spans="2:2">
      <c r="B114" t="s">
        <v>230</v>
      </c>
    </row>
    <row r="115" spans="2:2">
      <c r="B115" t="s">
        <v>231</v>
      </c>
    </row>
    <row r="116" spans="2:2">
      <c r="B116" t="s">
        <v>232</v>
      </c>
    </row>
    <row r="117" spans="2:2">
      <c r="B117" t="s">
        <v>233</v>
      </c>
    </row>
    <row r="118" spans="2:2">
      <c r="B118" t="s">
        <v>234</v>
      </c>
    </row>
    <row r="119" spans="2:2">
      <c r="B119" t="s">
        <v>235</v>
      </c>
    </row>
    <row r="120" spans="2:2">
      <c r="B120" t="s">
        <v>236</v>
      </c>
    </row>
    <row r="121" spans="2:2">
      <c r="B121" t="s">
        <v>237</v>
      </c>
    </row>
    <row r="122" spans="2:2">
      <c r="B122" t="s">
        <v>238</v>
      </c>
    </row>
    <row r="123" spans="2:2">
      <c r="B123" t="s">
        <v>239</v>
      </c>
    </row>
    <row r="124" spans="2:2">
      <c r="B124" t="s">
        <v>240</v>
      </c>
    </row>
    <row r="125" spans="2:2">
      <c r="B125" t="s">
        <v>241</v>
      </c>
    </row>
    <row r="126" spans="2:2">
      <c r="B126" t="s">
        <v>242</v>
      </c>
    </row>
    <row r="127" spans="2:2">
      <c r="B127" t="s">
        <v>243</v>
      </c>
    </row>
    <row r="128" spans="2:2">
      <c r="B128" t="s">
        <v>229</v>
      </c>
    </row>
    <row r="129" spans="2:2">
      <c r="B129" t="s">
        <v>244</v>
      </c>
    </row>
    <row r="130" spans="2:2">
      <c r="B130" t="s">
        <v>245</v>
      </c>
    </row>
    <row r="131" spans="2:2">
      <c r="B131" t="s">
        <v>246</v>
      </c>
    </row>
    <row r="132" spans="2:2">
      <c r="B132" t="s">
        <v>229</v>
      </c>
    </row>
    <row r="133" spans="2:2">
      <c r="B133" t="s">
        <v>247</v>
      </c>
    </row>
    <row r="134" spans="2:2">
      <c r="B134" t="s">
        <v>248</v>
      </c>
    </row>
    <row r="135" spans="2:2">
      <c r="B135" t="s">
        <v>249</v>
      </c>
    </row>
    <row r="136" spans="2:2">
      <c r="B136" t="s">
        <v>250</v>
      </c>
    </row>
    <row r="137" spans="2:2">
      <c r="B137" t="s">
        <v>251</v>
      </c>
    </row>
    <row r="138" spans="2:2">
      <c r="B138" t="s">
        <v>229</v>
      </c>
    </row>
    <row r="139" spans="2:2">
      <c r="B139" t="s">
        <v>252</v>
      </c>
    </row>
    <row r="140" spans="2:2">
      <c r="B140" t="s">
        <v>253</v>
      </c>
    </row>
    <row r="141" spans="2:2">
      <c r="B141" t="s">
        <v>254</v>
      </c>
    </row>
    <row r="142" spans="2:2">
      <c r="B142" t="s">
        <v>255</v>
      </c>
    </row>
    <row r="143" spans="2:2">
      <c r="B143" t="s">
        <v>256</v>
      </c>
    </row>
    <row r="144" spans="2:2">
      <c r="B144" t="s">
        <v>257</v>
      </c>
    </row>
    <row r="146" spans="2:2">
      <c r="B146" t="s">
        <v>258</v>
      </c>
    </row>
    <row r="147" spans="2:2">
      <c r="B147" t="s">
        <v>31</v>
      </c>
    </row>
    <row r="148" spans="2:2">
      <c r="B148" t="s">
        <v>58</v>
      </c>
    </row>
    <row r="149" spans="2:2">
      <c r="B149" t="s">
        <v>59</v>
      </c>
    </row>
    <row r="150" spans="2:2">
      <c r="B150" t="s">
        <v>60</v>
      </c>
    </row>
    <row r="151" spans="2:2">
      <c r="B151" t="s">
        <v>30</v>
      </c>
    </row>
    <row r="152" spans="2:2">
      <c r="B152" t="s">
        <v>61</v>
      </c>
    </row>
    <row r="153" spans="2:2">
      <c r="B153" t="s">
        <v>62</v>
      </c>
    </row>
    <row r="154" spans="2:2">
      <c r="B154" t="s">
        <v>63</v>
      </c>
    </row>
    <row r="155" spans="2:2">
      <c r="B155" t="s">
        <v>259</v>
      </c>
    </row>
    <row r="156" spans="2:2">
      <c r="B156" t="s">
        <v>260</v>
      </c>
    </row>
    <row r="157" spans="2:2">
      <c r="B157" t="s">
        <v>64</v>
      </c>
    </row>
    <row r="158" spans="2:2">
      <c r="B158" t="s">
        <v>36</v>
      </c>
    </row>
    <row r="159" spans="2:2">
      <c r="B159" t="s">
        <v>65</v>
      </c>
    </row>
    <row r="160" spans="2:2">
      <c r="B160" t="s">
        <v>66</v>
      </c>
    </row>
    <row r="161" spans="2:2">
      <c r="B161" t="s">
        <v>32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 Macro</vt:lpstr>
      <vt:lpstr>DB</vt:lpstr>
      <vt:lpstr>VBA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Skilbeck</dc:creator>
  <cp:lastModifiedBy>John Skilbeck</cp:lastModifiedBy>
  <dcterms:created xsi:type="dcterms:W3CDTF">2013-11-16T00:18:23Z</dcterms:created>
  <dcterms:modified xsi:type="dcterms:W3CDTF">2014-11-23T00:48:29Z</dcterms:modified>
</cp:coreProperties>
</file>